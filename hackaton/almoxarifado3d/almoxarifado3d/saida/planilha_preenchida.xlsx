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ia-me" sheetId="1" state="visible" r:id="rId1"/>
    <sheet name="Passo a passo" sheetId="2" state="visible" r:id="rId2"/>
    <sheet name="Módulos" sheetId="3" state="visible" r:id="rId3"/>
    <sheet name="Premissas" sheetId="4" state="visible" r:id="rId4"/>
    <sheet name="Cenários" sheetId="5" state="visible" r:id="rId5"/>
    <sheet name="Comparação" sheetId="6" state="visible" r:id="rId6"/>
    <sheet name="Indicadores" sheetId="7" state="visible" r:id="rId7"/>
  </sheets>
  <definedNames>
    <definedName name="_xlnm._FilterDatabase" localSheetId="1" hidden="1">'Passo a passo'!$A$1:$H$11</definedName>
    <definedName name="_xlnm._FilterDatabase" localSheetId="6" hidden="1">'Indicadores'!$A$3:$I$38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\(#,##0\);\-"/>
    <numFmt numFmtId="166" formatCode="0.0"/>
    <numFmt numFmtId="167" formatCode="0.0%;\-0.0%;\-"/>
    <numFmt numFmtId="168" formatCode="#,##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3" fontId="0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horizontal="center" vertical="top" wrapText="1"/>
    </xf>
    <xf numFmtId="3" fontId="8" fillId="4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center" vertical="top" wrapText="1"/>
    </xf>
    <xf numFmtId="166" fontId="5" fillId="6" borderId="1" applyAlignment="1" pivotButton="0" quotePrefix="0" xfId="0">
      <alignment horizontal="center" vertical="top" wrapText="1"/>
    </xf>
    <xf numFmtId="167" fontId="5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center" vertical="top" wrapText="1"/>
    </xf>
    <xf numFmtId="167" fontId="0" fillId="0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166" fontId="0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2" fontId="0" fillId="0" borderId="1" applyAlignment="1" pivotButton="0" quotePrefix="0" xfId="0">
      <alignment horizontal="center" vertical="top" wrapText="1"/>
    </xf>
    <xf numFmtId="1" fontId="9" fillId="0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3" fontId="8" fillId="4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3" fontId="0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3" fontId="5" fillId="0" borderId="1" applyAlignment="1" pivotButton="0" quotePrefix="0" xfId="0">
      <alignment horizontal="general" vertical="bottom"/>
    </xf>
    <xf numFmtId="164" fontId="8" fillId="4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horizontal="center" vertical="top" wrapText="1"/>
    </xf>
    <xf numFmtId="3" fontId="8" fillId="4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general" vertical="center" wrapText="1"/>
    </xf>
    <xf numFmtId="0" fontId="5" fillId="6" borderId="1" applyAlignment="1" pivotButton="0" quotePrefix="0" xfId="0">
      <alignment horizontal="center" vertical="top" wrapText="1"/>
    </xf>
    <xf numFmtId="166" fontId="5" fillId="6" borderId="1" applyAlignment="1" pivotButton="0" quotePrefix="0" xfId="0">
      <alignment horizontal="center" vertical="top" wrapText="1"/>
    </xf>
    <xf numFmtId="167" fontId="5" fillId="6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8" fontId="8" fillId="4" borderId="1" applyAlignment="1" pivotButton="0" quotePrefix="0" xfId="0">
      <alignment horizontal="center" vertical="top" wrapText="1"/>
    </xf>
    <xf numFmtId="167" fontId="0" fillId="0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165" fontId="8" fillId="4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166" fontId="0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2" fontId="0" fillId="0" borderId="1" applyAlignment="1" pivotButton="0" quotePrefix="0" xfId="0">
      <alignment horizontal="center" vertical="top" wrapText="1"/>
    </xf>
    <xf numFmtId="1" fontId="9" fillId="0" borderId="0" applyAlignment="1" pivotButton="0" quotePrefix="0" xfId="0">
      <alignment horizontal="general" vertical="bottom"/>
    </xf>
    <xf numFmtId="168" fontId="0" fillId="0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0" min="1" max="1"/>
    <col width="110" customWidth="1" style="40" min="2" max="2"/>
  </cols>
  <sheetData>
    <row r="1" ht="17.35" customHeight="1" s="41">
      <c r="A1" s="42" t="inlineStr">
        <is>
          <t>Plano do simulador 3D de almoxarifado (SmartStock, RFID, visão computacional)</t>
        </is>
      </c>
    </row>
    <row r="3" ht="48" customHeight="1" s="41">
      <c r="A3" s="43" t="inlineStr">
        <is>
          <t>Ideia central</t>
        </is>
      </c>
      <c r="B3" s="44" t="inlineStr">
        <is>
          <t>Separar o cérebro do visual: um motor de simulação calcula tudo e a camada 3D só mostra o que o motor gerou. As tecnologias são módulos que se ligam e desligam no motor.</t>
        </is>
      </c>
    </row>
    <row r="4" ht="48" customHeight="1" s="41">
      <c r="A4" s="43" t="inlineStr">
        <is>
          <t>Abas</t>
        </is>
      </c>
      <c r="B4" s="44" t="inlineStr">
        <is>
          <t>Passo a passo: as 10 etapas, com fase, entregável e status.  |  Módulos: o que cada tecnologia altera e seu custo.  |  Premissas: parâmetros de efeito (sem x com a tecnologia).  |  Cenários: as 8 combinações de módulos.  |  Comparação: resultados lado a lado, com índice de eficiência global.  |  Indicadores: dicionário de tudo o que medir.</t>
        </is>
      </c>
    </row>
    <row r="5" ht="48" customHeight="1" s="41">
      <c r="A5" s="43" t="inlineStr">
        <is>
          <t>Como usar</t>
        </is>
      </c>
      <c r="B5" s="44" t="inlineStr">
        <is>
          <t>Células com fonte azul e fundo amarelo são para você preencher. As demais são fórmulas ou texto fixo. Na aba Comparação, preencha os indicadores com os resultados do simulador; o índice de eficiência, o custo total, a economia, o ROI e o payback calculam sozinhos. Ajuste os pesos (coluna E) para dar mais importância ao que mais interessa.</t>
        </is>
      </c>
    </row>
    <row r="6" ht="48" customHeight="1" s="41">
      <c r="A6" s="43" t="inlineStr">
        <is>
          <t>Atenção aos valores</t>
        </is>
      </c>
      <c r="B6" s="44" t="inlineStr">
        <is>
          <t>Os números de efeito e de custo que já estão preenchidos são EXEMPLOS ilustrativos, não dados reais. Substitua por valores de artigos, fornecedores ou de um piloto. Os resultados são tão confiáveis quanto essas premissas.</t>
        </is>
      </c>
    </row>
    <row r="7" ht="48" customHeight="1" s="41">
      <c r="A7" s="43" t="inlineStr">
        <is>
          <t>Ordem recomendada</t>
        </is>
      </c>
      <c r="B7" s="44" t="inlineStr">
        <is>
          <t>Faça primeiro a Fase A (motor e comparação em tabela). Só depois a Fase B (3D). Assim a comparação já funciona e o 3D vira uma camada de apresentação, não um risco que trava o projeto.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40" min="1" max="1"/>
    <col width="30" customWidth="1" style="40" min="2" max="2"/>
    <col width="62" customWidth="1" style="40" min="3" max="3"/>
    <col width="36" customWidth="1" style="40" min="4" max="4"/>
    <col width="28" customWidth="1" style="40" min="5" max="5"/>
    <col width="22" customWidth="1" style="40" min="6" max="6"/>
    <col width="14" customWidth="1" style="40" min="7" max="8"/>
  </cols>
  <sheetData>
    <row r="1" ht="31.5" customHeight="1" s="41">
      <c r="A1" s="45" t="inlineStr">
        <is>
          <t>Etapa</t>
        </is>
      </c>
      <c r="B1" s="45" t="inlineStr">
        <is>
          <t>Título</t>
        </is>
      </c>
      <c r="C1" s="45" t="inlineStr">
        <is>
          <t>O que fazer</t>
        </is>
      </c>
      <c r="D1" s="45" t="inlineStr">
        <is>
          <t>Entregável</t>
        </is>
      </c>
      <c r="E1" s="45" t="inlineStr">
        <is>
          <t>Ferramenta sugerida</t>
        </is>
      </c>
      <c r="F1" s="45" t="inlineStr">
        <is>
          <t>Fase</t>
        </is>
      </c>
      <c r="G1" s="45" t="inlineStr">
        <is>
          <t>Ordem recomendada</t>
        </is>
      </c>
      <c r="H1" s="45" t="inlineStr">
        <is>
          <t>Status</t>
        </is>
      </c>
    </row>
    <row r="2" ht="78" customHeight="1" s="41">
      <c r="A2" s="46" t="n">
        <v>1</v>
      </c>
      <c r="B2" s="47" t="inlineStr">
        <is>
          <t>Definir o que comparar</t>
        </is>
      </c>
      <c r="C2" s="48" t="inlineStr">
        <is>
          <t>Escolher perguntas e indicadores antes de qualquer código. Foco principal em eficiência operacional (tempos, produtividade, distância, erros), mas registrando todos os dados possíveis: serviço, acurácia, estoque, dados do sistema e custos.</t>
        </is>
      </c>
      <c r="D2" s="48" t="inlineStr">
        <is>
          <t>Dicionário de indicadores e índice de eficiência (abas Indicadores e Comparação)</t>
        </is>
      </c>
      <c r="E2" s="48" t="inlineStr">
        <is>
          <t>Planilha / papel</t>
        </is>
      </c>
      <c r="F2" s="49" t="inlineStr">
        <is>
          <t>A - Motor e comparação</t>
        </is>
      </c>
      <c r="G2" s="46" t="n">
        <v>1</v>
      </c>
      <c r="H2" s="50" t="inlineStr">
        <is>
          <t>A fazer</t>
        </is>
      </c>
    </row>
    <row r="3" ht="78" customHeight="1" s="41">
      <c r="A3" s="46" t="n">
        <v>2</v>
      </c>
      <c r="B3" s="47" t="inlineStr">
        <is>
          <t>Descrever o almoxarifado como dados</t>
        </is>
      </c>
      <c r="C3" s="48" t="inlineStr">
        <is>
          <t>Guardar o layout em um arquivo (JSON): corredores, prateleiras, posições, doca de recebimento e expedição, com coordenadas. O motor usa para distâncias e tempos; o 3D usa o mesmo arquivo para desenhar.</t>
        </is>
      </c>
      <c r="D3" s="48" t="inlineStr">
        <is>
          <t>layout.json do almoxarifado</t>
        </is>
      </c>
      <c r="E3" s="48" t="inlineStr">
        <is>
          <t>Python + JSON</t>
        </is>
      </c>
      <c r="F3" s="49" t="inlineStr">
        <is>
          <t>A - Motor e comparação</t>
        </is>
      </c>
      <c r="G3" s="46" t="n">
        <v>2</v>
      </c>
      <c r="H3" s="50" t="inlineStr">
        <is>
          <t>A fazer</t>
        </is>
      </c>
    </row>
    <row r="4" ht="78" customHeight="1" s="41">
      <c r="A4" s="46" t="n">
        <v>3</v>
      </c>
      <c r="B4" s="47" t="inlineStr">
        <is>
          <t>Evoluir o motor para eventos e agentes</t>
        </is>
      </c>
      <c r="C4" s="48" t="inlineStr">
        <is>
          <t>Passar do tempo diário para eventos ao longo do dia: pedidos de retirada, operadores que andam até a prateleira, caminhões que chegam e descarregam. O motor diário atual vira o cérebro de reposição dentro dele.</t>
        </is>
      </c>
      <c r="D4" s="48" t="inlineStr">
        <is>
          <t>Motor de eventos rodando com operadores e recebimentos</t>
        </is>
      </c>
      <c r="E4" s="48" t="inlineStr">
        <is>
          <t>Python + SimPy</t>
        </is>
      </c>
      <c r="F4" s="49" t="inlineStr">
        <is>
          <t>A - Motor e comparação</t>
        </is>
      </c>
      <c r="G4" s="46" t="n">
        <v>3</v>
      </c>
      <c r="H4" s="50" t="inlineStr">
        <is>
          <t>A fazer</t>
        </is>
      </c>
    </row>
    <row r="5" ht="78" customHeight="1" s="41">
      <c r="A5" s="46" t="n">
        <v>4</v>
      </c>
      <c r="B5" s="47" t="inlineStr">
        <is>
          <t>Separar estoque físico de estoque no sistema</t>
        </is>
      </c>
      <c r="C5" s="48" t="inlineStr">
        <is>
          <t>Modelar a divergência: retiradas sem baixa, itens no lugar errado, erros de contagem. Sem isso, RFID e visão computacional não teriam efeito a mostrar.</t>
        </is>
      </c>
      <c r="D5" s="48" t="inlineStr">
        <is>
          <t>Duas contagens por item (físico e sistema) e métrica de divergência</t>
        </is>
      </c>
      <c r="E5" s="48" t="inlineStr">
        <is>
          <t>Python (motor)</t>
        </is>
      </c>
      <c r="F5" s="49" t="inlineStr">
        <is>
          <t>A - Motor e comparação</t>
        </is>
      </c>
      <c r="G5" s="46" t="n">
        <v>4</v>
      </c>
      <c r="H5" s="50" t="inlineStr">
        <is>
          <t>A fazer</t>
        </is>
      </c>
    </row>
    <row r="6" ht="78" customHeight="1" s="41">
      <c r="A6" s="46" t="n">
        <v>5</v>
      </c>
      <c r="B6" s="47" t="inlineStr">
        <is>
          <t>Fazer cada tecnologia ser um módulo com liga/desliga</t>
        </is>
      </c>
      <c r="C6" s="48" t="inlineStr">
        <is>
          <t>Cada módulo altera parâmetros específicos (aba Módulos e Premissas) e tem custo de implantação e manutenção.</t>
        </is>
      </c>
      <c r="D6" s="48" t="inlineStr">
        <is>
          <t>Módulos RFID, Visão e SmartStock configuráveis por arquivo</t>
        </is>
      </c>
      <c r="E6" s="48" t="inlineStr">
        <is>
          <t>Python (classes ou plugins)</t>
        </is>
      </c>
      <c r="F6" s="49" t="inlineStr">
        <is>
          <t>A - Motor e comparação</t>
        </is>
      </c>
      <c r="G6" s="46" t="n">
        <v>5</v>
      </c>
      <c r="H6" s="50" t="inlineStr">
        <is>
          <t>A fazer</t>
        </is>
      </c>
    </row>
    <row r="7" ht="78" customHeight="1" s="41">
      <c r="A7" s="46" t="n">
        <v>6</v>
      </c>
      <c r="B7" s="47" t="inlineStr">
        <is>
          <t>Rodar cenários com a mesma aleatoriedade</t>
        </is>
      </c>
      <c r="C7" s="48" t="inlineStr">
        <is>
          <t>Com 3 módulos há 8 combinações. Rodar todas com a mesma semente (mesma demanda e mesmos atrasos) para que a diferença venha só das tecnologias. Guardar os indicadores em tabela.</t>
        </is>
      </c>
      <c r="D7" s="48" t="inlineStr">
        <is>
          <t>Tabela de resultados por cenário (aba Comparação)</t>
        </is>
      </c>
      <c r="E7" s="48" t="inlineStr">
        <is>
          <t>Python + pandas</t>
        </is>
      </c>
      <c r="F7" s="49" t="inlineStr">
        <is>
          <t>A - Motor e comparação</t>
        </is>
      </c>
      <c r="G7" s="46" t="n">
        <v>6</v>
      </c>
      <c r="H7" s="50" t="inlineStr">
        <is>
          <t>A fazer</t>
        </is>
      </c>
    </row>
    <row r="8" ht="78" customHeight="1" s="41">
      <c r="A8" s="46" t="n">
        <v>7</v>
      </c>
      <c r="B8" s="47" t="inlineStr">
        <is>
          <t>Gerar um registro de eventos</t>
        </is>
      </c>
      <c r="C8" s="48" t="inlineStr">
        <is>
          <t>Gravar o que aconteceu durante a simulação (ex.: às 09:12 o operador 2 saiu da doca e foi para a posição B-14). Esse arquivo é a ponte para o 3D.</t>
        </is>
      </c>
      <c r="D8" s="48" t="inlineStr">
        <is>
          <t>events.json ou CSV com carimbo de tempo</t>
        </is>
      </c>
      <c r="E8" s="48" t="inlineStr">
        <is>
          <t>Python</t>
        </is>
      </c>
      <c r="F8" s="51" t="inlineStr">
        <is>
          <t>B - Visualização 3D</t>
        </is>
      </c>
      <c r="G8" s="46" t="n">
        <v>8</v>
      </c>
      <c r="H8" s="50" t="inlineStr">
        <is>
          <t>A fazer</t>
        </is>
      </c>
    </row>
    <row r="9" ht="78" customHeight="1" s="41">
      <c r="A9" s="46" t="n">
        <v>8</v>
      </c>
      <c r="B9" s="47" t="inlineStr">
        <is>
          <t>Construir a visualização 3D</t>
        </is>
      </c>
      <c r="C9" s="48" t="inlineStr">
        <is>
          <t>Página web com prateleiras como caixas, operadores como pontos que se movem, cor da prateleira conforme o nível de estoque, e ícones/efeitos para RFID e câmeras. Reproduz o registro de eventos como um filme, com controle de velocidade. Começar com cubos coloridos.</t>
        </is>
      </c>
      <c r="D9" s="48" t="inlineStr">
        <is>
          <t>Página 3D que reproduz a simulação</t>
        </is>
      </c>
      <c r="E9" s="48" t="inlineStr">
        <is>
          <t>Three.js ou react-three-fiber (alternativas: Unity, Godot)</t>
        </is>
      </c>
      <c r="F9" s="51" t="inlineStr">
        <is>
          <t>B - Visualização 3D</t>
        </is>
      </c>
      <c r="G9" s="46" t="n">
        <v>9</v>
      </c>
      <c r="H9" s="50" t="inlineStr">
        <is>
          <t>A fazer</t>
        </is>
      </c>
    </row>
    <row r="10" ht="78" customHeight="1" s="41">
      <c r="A10" s="46" t="n">
        <v>9</v>
      </c>
      <c r="B10" s="47" t="inlineStr">
        <is>
          <t>Montar a interface de comparação</t>
        </is>
      </c>
      <c r="C10" s="48" t="inlineStr">
        <is>
          <t>Painel com interruptores (RFID, visão, SmartStock), sliders de parâmetros e, ao lado do 3D, os indicadores. Ideal: dois cenários lado a lado mostrando a diferença nos números.</t>
        </is>
      </c>
      <c r="D10" s="48" t="inlineStr">
        <is>
          <t>Painel interativo com cenários lado a lado</t>
        </is>
      </c>
      <c r="E10" s="48" t="inlineStr">
        <is>
          <t>Streamlit ou a própria página web</t>
        </is>
      </c>
      <c r="F10" s="51" t="inlineStr">
        <is>
          <t>B - Visualização 3D</t>
        </is>
      </c>
      <c r="G10" s="46" t="n">
        <v>10</v>
      </c>
      <c r="H10" s="50" t="inlineStr">
        <is>
          <t>A fazer</t>
        </is>
      </c>
    </row>
    <row r="11" ht="78" customHeight="1" s="41">
      <c r="A11" s="46" t="n">
        <v>10</v>
      </c>
      <c r="B11" s="47" t="inlineStr">
        <is>
          <t>Validar e calibrar</t>
        </is>
      </c>
      <c r="C11" s="48" t="inlineStr">
        <is>
          <t>Comparar o cenário sem nada com o que se sabe do almoxarifado real (taxa de ruptura, tempo médio de separação). Se a base não reproduz a realidade atual, os ganhos simulados não servem de argumento.</t>
        </is>
      </c>
      <c r="D11" s="48" t="inlineStr">
        <is>
          <t>Relatório de calibração do cenário base</t>
        </is>
      </c>
      <c r="E11" s="48" t="inlineStr">
        <is>
          <t>Dados reais + planilha</t>
        </is>
      </c>
      <c r="F11" s="49" t="inlineStr">
        <is>
          <t>A - Motor e comparação</t>
        </is>
      </c>
      <c r="G11" s="46" t="n">
        <v>7</v>
      </c>
      <c r="H11" s="50" t="inlineStr">
        <is>
          <t>A fazer</t>
        </is>
      </c>
    </row>
    <row r="13" ht="15" customHeight="1" s="41">
      <c r="A13" s="52" t="inlineStr">
        <is>
          <t>Etapas concluídas:</t>
        </is>
      </c>
      <c r="C13" s="52">
        <f>COUNTIF(H2:H11,"Concluído")&amp;" de "&amp;COUNTA(A2:A11)</f>
        <v/>
      </c>
    </row>
  </sheetData>
  <autoFilter ref="A1:H11"/>
  <dataValidations count="1">
    <dataValidation sqref="H2:H11" showDropDown="0" showInputMessage="0" showErrorMessage="0" allowBlank="0" type="list" errorStyle="stop" operator="between">
      <formula1>"A fazer,Em andamento,Concluído"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0" min="1" max="1"/>
    <col width="52" customWidth="1" style="40" min="2" max="2"/>
    <col width="20" customWidth="1" style="40" min="3" max="3"/>
    <col width="14" customWidth="1" style="40" min="4" max="4"/>
    <col width="18" customWidth="1" style="40" min="5" max="5"/>
    <col width="22" customWidth="1" style="40" min="6" max="6"/>
    <col width="44" customWidth="1" style="40" min="7" max="7"/>
  </cols>
  <sheetData>
    <row r="1" ht="17.35" customHeight="1" s="41">
      <c r="A1" s="42" t="inlineStr">
        <is>
          <t>Módulos de tecnologia: o que alteram e quanto custam</t>
        </is>
      </c>
    </row>
    <row r="2" ht="15" customHeight="1" s="41">
      <c r="A2" s="53" t="inlineStr">
        <is>
          <t>Valores de custo em fonte azul/fundo amarelo são EXEMPLOS: substitua por orçamentos reais.</t>
        </is>
      </c>
    </row>
    <row r="4" ht="31.5" customHeight="1" s="41">
      <c r="A4" s="45" t="inlineStr">
        <is>
          <t>Módulo</t>
        </is>
      </c>
      <c r="B4" s="45" t="inlineStr">
        <is>
          <t>O que altera na simulação</t>
        </is>
      </c>
      <c r="C4" s="45" t="inlineStr">
        <is>
          <t>Custo de implantação (R$)</t>
        </is>
      </c>
      <c r="D4" s="45" t="inlineStr">
        <is>
          <t>Vida útil (anos)</t>
        </is>
      </c>
      <c r="E4" s="45" t="inlineStr">
        <is>
          <t>Manutenção (R$/ano)</t>
        </is>
      </c>
      <c r="F4" s="45" t="inlineStr">
        <is>
          <t>Custo anualizado (R$/ano)</t>
        </is>
      </c>
      <c r="G4" s="45" t="inlineStr">
        <is>
          <t>Observação</t>
        </is>
      </c>
    </row>
    <row r="5" ht="43.5" customHeight="1" s="41">
      <c r="A5" s="47" t="inlineStr">
        <is>
          <t>RFID</t>
        </is>
      </c>
      <c r="B5" s="48" t="inlineStr">
        <is>
          <t>Reduz a divergência de inventário, acelera recebimento e contagem, localiza itens.</t>
        </is>
      </c>
      <c r="C5" s="54" t="n">
        <v>150000</v>
      </c>
      <c r="D5" s="55" t="n">
        <v>5</v>
      </c>
      <c r="E5" s="54" t="n">
        <v>12000</v>
      </c>
      <c r="F5" s="56">
        <f>IF(D5&gt;0,C5/D5,0)+E5</f>
        <v/>
      </c>
      <c r="G5" s="48" t="inlineStr">
        <is>
          <t>Exemplo: etiquetas, leitores/portais e integração.</t>
        </is>
      </c>
    </row>
    <row r="6" ht="43.5" customHeight="1" s="41">
      <c r="A6" s="47" t="inlineStr">
        <is>
          <t>Visão computacional</t>
        </is>
      </c>
      <c r="B6" s="48" t="inlineStr">
        <is>
          <t>Detecta retiradas e ocupação de prateleira, reduz erros de separação.</t>
        </is>
      </c>
      <c r="C6" s="54" t="n">
        <v>90000</v>
      </c>
      <c r="D6" s="55" t="n">
        <v>4</v>
      </c>
      <c r="E6" s="54" t="n">
        <v>9000</v>
      </c>
      <c r="F6" s="56">
        <f>IF(D6&gt;0,C6/D6,0)+E6</f>
        <v/>
      </c>
      <c r="G6" s="48" t="inlineStr">
        <is>
          <t>Exemplo: câmeras, processamento e licença do software.</t>
        </is>
      </c>
    </row>
    <row r="7" ht="43.5" customHeight="1" s="41">
      <c r="A7" s="47" t="inlineStr">
        <is>
          <t>SmartStock</t>
        </is>
      </c>
      <c r="B7" s="48" t="inlineStr">
        <is>
          <t>Troca a política de reposição (min/max fixo por adaptativa).</t>
        </is>
      </c>
      <c r="C7" s="54" t="n">
        <v>30000</v>
      </c>
      <c r="D7" s="55" t="n">
        <v>3</v>
      </c>
      <c r="E7" s="54" t="n">
        <v>6000</v>
      </c>
      <c r="F7" s="56">
        <f>IF(D7&gt;0,C7/D7,0)+E7</f>
        <v/>
      </c>
      <c r="G7" s="48" t="inlineStr">
        <is>
          <t>Exemplo: desenvolvimento, integração e suporte.</t>
        </is>
      </c>
    </row>
    <row r="8" ht="15" customHeight="1" s="41">
      <c r="A8" s="57" t="inlineStr">
        <is>
          <t>Total (todos os módulos)</t>
        </is>
      </c>
      <c r="B8" s="58" t="n"/>
      <c r="C8" s="59">
        <f>SUM(C5:C7)</f>
        <v/>
      </c>
      <c r="D8" s="58" t="n"/>
      <c r="E8" s="59">
        <f>SUM(E5:E7)</f>
        <v/>
      </c>
      <c r="F8" s="59">
        <f>SUM(F5:F7)</f>
        <v/>
      </c>
      <c r="G8" s="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0" min="1" max="1"/>
    <col width="48" customWidth="1" style="40" min="2" max="2"/>
    <col width="18" customWidth="1" style="40" min="3" max="6"/>
    <col width="52" customWidth="1" style="40" min="7" max="7"/>
  </cols>
  <sheetData>
    <row r="1" ht="17.35" customHeight="1" s="41">
      <c r="A1" s="42" t="inlineStr">
        <is>
          <t>Parâmetros de efeito: valor sem x com a tecnologia</t>
        </is>
      </c>
    </row>
    <row r="2" ht="15" customHeight="1" s="41">
      <c r="A2" s="53" t="inlineStr">
        <is>
          <t>EXEMPLOS ilustrativos. Substitua por dados de artigos, fornecedores ou piloto, e registre a fonte.</t>
        </is>
      </c>
    </row>
    <row r="4" ht="31.5" customHeight="1" s="41">
      <c r="A4" s="45" t="inlineStr">
        <is>
          <t>Módulo</t>
        </is>
      </c>
      <c r="B4" s="45" t="inlineStr">
        <is>
          <t>Parâmetro</t>
        </is>
      </c>
      <c r="C4" s="45" t="inlineStr">
        <is>
          <t>Unidade</t>
        </is>
      </c>
      <c r="D4" s="45" t="inlineStr">
        <is>
          <t>Sem a tecnologia</t>
        </is>
      </c>
      <c r="E4" s="45" t="inlineStr">
        <is>
          <t>Com a tecnologia</t>
        </is>
      </c>
      <c r="F4" s="45" t="inlineStr">
        <is>
          <t>Redução relativa</t>
        </is>
      </c>
      <c r="G4" s="45" t="inlineStr">
        <is>
          <t>Fonte / observação</t>
        </is>
      </c>
    </row>
    <row r="5" ht="31.5" customHeight="1" s="41">
      <c r="A5" s="47" t="inlineStr">
        <is>
          <t>RFID</t>
        </is>
      </c>
      <c r="B5" s="48" t="inlineStr">
        <is>
          <t>Divergência de inventário (sistema x prateleira)</t>
        </is>
      </c>
      <c r="C5" s="48" t="inlineStr">
        <is>
          <t>% dos itens</t>
        </is>
      </c>
      <c r="D5" s="60" t="n">
        <v>0.08</v>
      </c>
      <c r="E5" s="60" t="n">
        <v>0.01</v>
      </c>
      <c r="F5" s="61">
        <f>IF(D5=0,0,(D5-E5)/D5)</f>
        <v/>
      </c>
      <c r="G5" s="48" t="inlineStr">
        <is>
          <t>Exemplo, definir com dados reais</t>
        </is>
      </c>
    </row>
    <row r="6" ht="31.5" customHeight="1" s="41">
      <c r="A6" s="47" t="inlineStr">
        <is>
          <t>RFID</t>
        </is>
      </c>
      <c r="B6" s="48" t="inlineStr">
        <is>
          <t>Tempo de recebimento por lote</t>
        </is>
      </c>
      <c r="C6" s="48" t="inlineStr">
        <is>
          <t>min</t>
        </is>
      </c>
      <c r="D6" s="62" t="n">
        <v>45</v>
      </c>
      <c r="E6" s="62" t="n">
        <v>15</v>
      </c>
      <c r="F6" s="61">
        <f>IF(D6=0,0,(D6-E6)/D6)</f>
        <v/>
      </c>
      <c r="G6" s="48" t="inlineStr">
        <is>
          <t>Exemplo, definir com dados reais</t>
        </is>
      </c>
    </row>
    <row r="7" ht="31.5" customHeight="1" s="41">
      <c r="A7" s="47" t="inlineStr">
        <is>
          <t>RFID</t>
        </is>
      </c>
      <c r="B7" s="48" t="inlineStr">
        <is>
          <t>Tempo de contagem cíclica por item</t>
        </is>
      </c>
      <c r="C7" s="48" t="inlineStr">
        <is>
          <t>s</t>
        </is>
      </c>
      <c r="D7" s="62" t="n">
        <v>30</v>
      </c>
      <c r="E7" s="62" t="n">
        <v>5</v>
      </c>
      <c r="F7" s="61">
        <f>IF(D7=0,0,(D7-E7)/D7)</f>
        <v/>
      </c>
      <c r="G7" s="48" t="inlineStr">
        <is>
          <t>Exemplo, definir com dados reais</t>
        </is>
      </c>
    </row>
    <row r="8" ht="31.5" customHeight="1" s="41">
      <c r="A8" s="47" t="inlineStr">
        <is>
          <t>Visão computacional</t>
        </is>
      </c>
      <c r="B8" s="48" t="inlineStr">
        <is>
          <t>Erro de separação (item errado)</t>
        </is>
      </c>
      <c r="C8" s="48" t="inlineStr">
        <is>
          <t>% dos pedidos</t>
        </is>
      </c>
      <c r="D8" s="60" t="n">
        <v>0.03</v>
      </c>
      <c r="E8" s="60" t="n">
        <v>0.005</v>
      </c>
      <c r="F8" s="61">
        <f>IF(D8=0,0,(D8-E8)/D8)</f>
        <v/>
      </c>
      <c r="G8" s="48" t="inlineStr">
        <is>
          <t>Exemplo, definir com dados reais</t>
        </is>
      </c>
    </row>
    <row r="9" ht="31.5" customHeight="1" s="41">
      <c r="A9" s="47" t="inlineStr">
        <is>
          <t>Visão computacional</t>
        </is>
      </c>
      <c r="B9" s="48" t="inlineStr">
        <is>
          <t>Retiradas sem baixa no sistema</t>
        </is>
      </c>
      <c r="C9" s="48" t="inlineStr">
        <is>
          <t>% das retiradas</t>
        </is>
      </c>
      <c r="D9" s="60" t="n">
        <v>0.05</v>
      </c>
      <c r="E9" s="60" t="n">
        <v>0.01</v>
      </c>
      <c r="F9" s="61">
        <f>IF(D9=0,0,(D9-E9)/D9)</f>
        <v/>
      </c>
      <c r="G9" s="48" t="inlineStr">
        <is>
          <t>Exemplo, definir com dados reais</t>
        </is>
      </c>
    </row>
    <row r="10" ht="31.5" customHeight="1" s="41">
      <c r="A10" s="47" t="inlineStr">
        <is>
          <t>SmartStock</t>
        </is>
      </c>
      <c r="B10" s="48" t="inlineStr">
        <is>
          <t>Nível de serviço alvo da reposição</t>
        </is>
      </c>
      <c r="C10" s="48" t="inlineStr">
        <is>
          <t>% da demanda</t>
        </is>
      </c>
      <c r="D10" s="60" t="n">
        <v>0.9399999999999999</v>
      </c>
      <c r="E10" s="60" t="n">
        <v>0.97</v>
      </c>
      <c r="F10" s="61">
        <f>IF(D10=0,0,(D10-E10)/D10)</f>
        <v/>
      </c>
      <c r="G10" s="48" t="inlineStr">
        <is>
          <t>Política min/max atual x alvo do SmartStock (simulação)</t>
        </is>
      </c>
    </row>
    <row r="12" ht="15" customHeight="1" s="41">
      <c r="A12" s="53" t="inlineStr">
        <is>
          <t>Nota: a redução relativa de 'Nível de serviço' é negativa porque o valor sobe com a tecnologia; leia o sinal como melhora.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0" min="1" max="1"/>
    <col width="9" customWidth="1" style="40" min="2" max="2"/>
    <col width="12" customWidth="1" style="40" min="3" max="4"/>
    <col width="26" customWidth="1" style="40" min="5" max="5"/>
    <col width="24" customWidth="1" style="40" min="6" max="6"/>
  </cols>
  <sheetData>
    <row r="1" ht="17.35" customHeight="1" s="41">
      <c r="A1" s="42" t="inlineStr">
        <is>
          <t>Cenários: 8 combinações de módulos (mesma semente aleatória em todos)</t>
        </is>
      </c>
    </row>
    <row r="2" ht="15" customHeight="1" s="41">
      <c r="A2" s="53" t="inlineStr">
        <is>
          <t>1 = tecnologia ligada, 0 = desligada. Os resultados de cada cenário ficam na aba Comparação.</t>
        </is>
      </c>
    </row>
    <row r="4" ht="48" customHeight="1" s="41">
      <c r="A4" s="45" t="inlineStr">
        <is>
          <t>Cenário</t>
        </is>
      </c>
      <c r="B4" s="45" t="inlineStr">
        <is>
          <t>RFID</t>
        </is>
      </c>
      <c r="C4" s="45" t="inlineStr">
        <is>
          <t>Visão comp.</t>
        </is>
      </c>
      <c r="D4" s="45" t="inlineStr">
        <is>
          <t>SmartStock</t>
        </is>
      </c>
      <c r="E4" s="45" t="inlineStr">
        <is>
          <t>Custo anual das tecnologias (R$/ano)</t>
        </is>
      </c>
      <c r="F4" s="45" t="inlineStr">
        <is>
          <t>Investimento inicial (R$)</t>
        </is>
      </c>
    </row>
    <row r="5" ht="15" customHeight="1" s="41">
      <c r="A5" s="47" t="inlineStr">
        <is>
          <t>Base (nada)</t>
        </is>
      </c>
      <c r="B5" s="50" t="n">
        <v>0</v>
      </c>
      <c r="C5" s="50" t="n">
        <v>0</v>
      </c>
      <c r="D5" s="50" t="n">
        <v>0</v>
      </c>
      <c r="E5" s="63">
        <f>B5*Módulos!$F$5+C5*Módulos!$F$6+D5*Módulos!$F$7</f>
        <v/>
      </c>
      <c r="F5" s="63">
        <f>B5*Módulos!$C$5+C5*Módulos!$C$6+D5*Módulos!$C$7</f>
        <v/>
      </c>
    </row>
    <row r="6" ht="15" customHeight="1" s="41">
      <c r="A6" s="47" t="inlineStr">
        <is>
          <t>Só RFID</t>
        </is>
      </c>
      <c r="B6" s="50" t="n">
        <v>1</v>
      </c>
      <c r="C6" s="50" t="n">
        <v>0</v>
      </c>
      <c r="D6" s="50" t="n">
        <v>0</v>
      </c>
      <c r="E6" s="63">
        <f>B6*Módulos!$F$5+C6*Módulos!$F$6+D6*Módulos!$F$7</f>
        <v/>
      </c>
      <c r="F6" s="63">
        <f>B6*Módulos!$C$5+C6*Módulos!$C$6+D6*Módulos!$C$7</f>
        <v/>
      </c>
    </row>
    <row r="7" ht="15" customHeight="1" s="41">
      <c r="A7" s="47" t="inlineStr">
        <is>
          <t>Só visão computacional</t>
        </is>
      </c>
      <c r="B7" s="50" t="n">
        <v>0</v>
      </c>
      <c r="C7" s="50" t="n">
        <v>1</v>
      </c>
      <c r="D7" s="50" t="n">
        <v>0</v>
      </c>
      <c r="E7" s="63">
        <f>B7*Módulos!$F$5+C7*Módulos!$F$6+D7*Módulos!$F$7</f>
        <v/>
      </c>
      <c r="F7" s="63">
        <f>B7*Módulos!$C$5+C7*Módulos!$C$6+D7*Módulos!$C$7</f>
        <v/>
      </c>
    </row>
    <row r="8" ht="15" customHeight="1" s="41">
      <c r="A8" s="47" t="inlineStr">
        <is>
          <t>Só SmartStock</t>
        </is>
      </c>
      <c r="B8" s="50" t="n">
        <v>0</v>
      </c>
      <c r="C8" s="50" t="n">
        <v>0</v>
      </c>
      <c r="D8" s="50" t="n">
        <v>1</v>
      </c>
      <c r="E8" s="63">
        <f>B8*Módulos!$F$5+C8*Módulos!$F$6+D8*Módulos!$F$7</f>
        <v/>
      </c>
      <c r="F8" s="63">
        <f>B8*Módulos!$C$5+C8*Módulos!$C$6+D8*Módulos!$C$7</f>
        <v/>
      </c>
    </row>
    <row r="9" ht="15" customHeight="1" s="41">
      <c r="A9" s="47" t="inlineStr">
        <is>
          <t>RFID + visão</t>
        </is>
      </c>
      <c r="B9" s="50" t="n">
        <v>1</v>
      </c>
      <c r="C9" s="50" t="n">
        <v>1</v>
      </c>
      <c r="D9" s="50" t="n">
        <v>0</v>
      </c>
      <c r="E9" s="63">
        <f>B9*Módulos!$F$5+C9*Módulos!$F$6+D9*Módulos!$F$7</f>
        <v/>
      </c>
      <c r="F9" s="63">
        <f>B9*Módulos!$C$5+C9*Módulos!$C$6+D9*Módulos!$C$7</f>
        <v/>
      </c>
    </row>
    <row r="10" ht="15" customHeight="1" s="41">
      <c r="A10" s="47" t="inlineStr">
        <is>
          <t>RFID + SmartStock</t>
        </is>
      </c>
      <c r="B10" s="50" t="n">
        <v>1</v>
      </c>
      <c r="C10" s="50" t="n">
        <v>0</v>
      </c>
      <c r="D10" s="50" t="n">
        <v>1</v>
      </c>
      <c r="E10" s="63">
        <f>B10*Módulos!$F$5+C10*Módulos!$F$6+D10*Módulos!$F$7</f>
        <v/>
      </c>
      <c r="F10" s="63">
        <f>B10*Módulos!$C$5+C10*Módulos!$C$6+D10*Módulos!$C$7</f>
        <v/>
      </c>
    </row>
    <row r="11" ht="15" customHeight="1" s="41">
      <c r="A11" s="47" t="inlineStr">
        <is>
          <t>Visão + SmartStock</t>
        </is>
      </c>
      <c r="B11" s="50" t="n">
        <v>0</v>
      </c>
      <c r="C11" s="50" t="n">
        <v>1</v>
      </c>
      <c r="D11" s="50" t="n">
        <v>1</v>
      </c>
      <c r="E11" s="63">
        <f>B11*Módulos!$F$5+C11*Módulos!$F$6+D11*Módulos!$F$7</f>
        <v/>
      </c>
      <c r="F11" s="63">
        <f>B11*Módulos!$C$5+C11*Módulos!$C$6+D11*Módulos!$C$7</f>
        <v/>
      </c>
    </row>
    <row r="12" ht="15" customHeight="1" s="41">
      <c r="A12" s="47" t="inlineStr">
        <is>
          <t>Todos</t>
        </is>
      </c>
      <c r="B12" s="50" t="n">
        <v>1</v>
      </c>
      <c r="C12" s="50" t="n">
        <v>1</v>
      </c>
      <c r="D12" s="50" t="n">
        <v>1</v>
      </c>
      <c r="E12" s="63">
        <f>B12*Módulos!$F$5+C12*Módulos!$F$6+D12*Módulos!$F$7</f>
        <v/>
      </c>
      <c r="F12" s="63">
        <f>B12*Módulos!$C$5+C12*Módulos!$C$6+D12*Módulos!$C$7</f>
        <v/>
      </c>
    </row>
  </sheetData>
  <dataValidations count="1">
    <dataValidation sqref="B5:D12" showDropDown="0" showInputMessage="0" showErrorMessage="0" allowBlank="0" type="list" errorStyle="stop" operator="between">
      <formula1>"0,1"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40" min="1" max="1"/>
    <col width="16" customWidth="1" style="40" min="2" max="2"/>
    <col width="13" customWidth="1" style="40" min="3" max="3"/>
    <col width="14" customWidth="1" style="40" min="4" max="4"/>
    <col width="12" customWidth="1" style="40" min="5" max="5"/>
    <col width="13" customWidth="1" style="40" min="6" max="13"/>
    <col width="22" customWidth="1" style="40" min="14" max="14"/>
    <col width="18" customWidth="1" style="40" min="15" max="15"/>
  </cols>
  <sheetData>
    <row r="1" ht="17.35" customHeight="1" s="41">
      <c r="A1" s="42" t="inlineStr">
        <is>
          <t>Comparação dos 8 cenários (foco em eficiência)</t>
        </is>
      </c>
    </row>
    <row r="2" ht="15" customHeight="1" s="41">
      <c r="A2" s="53" t="inlineStr">
        <is>
          <t>Preencha as células amarelas com os resultados do simulador. Verde = melhor valor da linha. O índice de eficiência usa os pesos da coluna E e vale 100 no cenário base.</t>
        </is>
      </c>
    </row>
    <row r="4" ht="43.5" customHeight="1" s="41">
      <c r="A4" s="45" t="inlineStr">
        <is>
          <t>Indicador</t>
        </is>
      </c>
      <c r="B4" s="45" t="inlineStr">
        <is>
          <t>Unidade</t>
        </is>
      </c>
      <c r="C4" s="45" t="inlineStr">
        <is>
          <t>Melhor quando</t>
        </is>
      </c>
      <c r="D4" s="45" t="inlineStr">
        <is>
          <t>Prioridade</t>
        </is>
      </c>
      <c r="E4" s="45" t="inlineStr">
        <is>
          <t>Peso no índice</t>
        </is>
      </c>
      <c r="F4" s="45">
        <f>Cenários!A5</f>
        <v/>
      </c>
      <c r="G4" s="45">
        <f>Cenários!A6</f>
        <v/>
      </c>
      <c r="H4" s="45">
        <f>Cenários!A7</f>
        <v/>
      </c>
      <c r="I4" s="45">
        <f>Cenários!A8</f>
        <v/>
      </c>
      <c r="J4" s="45">
        <f>Cenários!A9</f>
        <v/>
      </c>
      <c r="K4" s="45">
        <f>Cenários!A10</f>
        <v/>
      </c>
      <c r="L4" s="45">
        <f>Cenários!A11</f>
        <v/>
      </c>
      <c r="M4" s="45">
        <f>Cenários!A12</f>
        <v/>
      </c>
      <c r="N4" s="45" t="inlineStr">
        <is>
          <t>Melhor cenário</t>
        </is>
      </c>
      <c r="O4" s="45" t="inlineStr">
        <is>
          <t>Variação do melhor vs. base</t>
        </is>
      </c>
    </row>
    <row r="5" ht="30" customHeight="1" s="41">
      <c r="A5" s="64" t="inlineStr">
        <is>
          <t>ÍNDICE DE EFICIÊNCIA GLOBAL (base = 100)</t>
        </is>
      </c>
      <c r="B5" s="65" t="inlineStr">
        <is>
          <t>pontos</t>
        </is>
      </c>
      <c r="C5" s="65" t="inlineStr">
        <is>
          <t>Maior</t>
        </is>
      </c>
      <c r="D5" s="65" t="inlineStr">
        <is>
          <t>Principal</t>
        </is>
      </c>
      <c r="E5" s="65" t="n"/>
      <c r="F5" s="66">
        <f>IF(F59=0,"",SUMPRODUCT($E$50:$E$58,F50:F58)/F59*100)</f>
        <v/>
      </c>
      <c r="G5" s="66">
        <f>IF(G59=0,"",SUMPRODUCT($E$50:$E$58,G50:G58)/G59*100)</f>
        <v/>
      </c>
      <c r="H5" s="66">
        <f>IF(H59=0,"",SUMPRODUCT($E$50:$E$58,H50:H58)/H59*100)</f>
        <v/>
      </c>
      <c r="I5" s="66">
        <f>IF(I59=0,"",SUMPRODUCT($E$50:$E$58,I50:I58)/I59*100)</f>
        <v/>
      </c>
      <c r="J5" s="66">
        <f>IF(J59=0,"",SUMPRODUCT($E$50:$E$58,J50:J58)/J59*100)</f>
        <v/>
      </c>
      <c r="K5" s="66">
        <f>IF(K59=0,"",SUMPRODUCT($E$50:$E$58,K50:K58)/K59*100)</f>
        <v/>
      </c>
      <c r="L5" s="66">
        <f>IF(L59=0,"",SUMPRODUCT($E$50:$E$58,L50:L58)/L59*100)</f>
        <v/>
      </c>
      <c r="M5" s="66">
        <f>IF(M59=0,"",SUMPRODUCT($E$50:$E$58,M50:M58)/M59*100)</f>
        <v/>
      </c>
      <c r="N5" s="65">
        <f>IF(COUNT(F5:M5)=0,"",INDEX($F$4:$M$4,MATCH(MAX(F5:M5),F5:M5,0)))</f>
        <v/>
      </c>
      <c r="O5" s="67">
        <f>IF(OR(N5="",F5=""),"",(MAX(F5:M5)-F5)/F5)</f>
        <v/>
      </c>
    </row>
    <row r="6"/>
    <row r="7" ht="15" customHeight="1" s="41">
      <c r="A7" s="68" t="inlineStr">
        <is>
          <t>1. Eficiência operacional (principal)</t>
        </is>
      </c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</row>
    <row r="8" ht="24" customHeight="1" s="41">
      <c r="A8" s="47" t="inlineStr">
        <is>
          <t>Tempo médio de separação por pedido</t>
        </is>
      </c>
      <c r="B8" s="46" t="inlineStr">
        <is>
          <t>min</t>
        </is>
      </c>
      <c r="C8" s="46" t="inlineStr">
        <is>
          <t>Menor</t>
        </is>
      </c>
      <c r="D8" s="46" t="inlineStr">
        <is>
          <t>Principal</t>
        </is>
      </c>
      <c r="E8" s="50" t="n">
        <v>3</v>
      </c>
      <c r="F8" s="70" t="n">
        <v>2.2769</v>
      </c>
      <c r="G8" s="70" t="n">
        <v>2.3001</v>
      </c>
      <c r="H8" s="70" t="n">
        <v>2.0011</v>
      </c>
      <c r="I8" s="70" t="n">
        <v>2.2793</v>
      </c>
      <c r="J8" s="70" t="n">
        <v>2.0077</v>
      </c>
      <c r="K8" s="70" t="n">
        <v>2.3022</v>
      </c>
      <c r="L8" s="70" t="n">
        <v>2.0013</v>
      </c>
      <c r="M8" s="70" t="n">
        <v>2.007</v>
      </c>
      <c r="N8" s="46">
        <f>IF(COUNT(F8:M8)=0,"",INDEX($F$4:$M$4,MATCH(MIN(F8:M8),F8:M8,0)))</f>
        <v/>
      </c>
      <c r="O8" s="71">
        <f>IF(OR(N8="",F8="",F8=0),"",(MIN(F8:M8)-F8)/ABS(F8))</f>
        <v/>
      </c>
    </row>
    <row r="9" ht="24" customHeight="1" s="41">
      <c r="A9" s="47" t="inlineStr">
        <is>
          <t>Produtividade (pedidos por operador-hora)</t>
        </is>
      </c>
      <c r="B9" s="46" t="inlineStr">
        <is>
          <t>pedidos/h</t>
        </is>
      </c>
      <c r="C9" s="46" t="inlineStr">
        <is>
          <t>Maior</t>
        </is>
      </c>
      <c r="D9" s="46" t="inlineStr">
        <is>
          <t>Principal</t>
        </is>
      </c>
      <c r="E9" s="50" t="n">
        <v>3</v>
      </c>
      <c r="F9" s="70" t="n">
        <v>26.3516</v>
      </c>
      <c r="G9" s="70" t="n">
        <v>26.0856</v>
      </c>
      <c r="H9" s="70" t="n">
        <v>29.9828</v>
      </c>
      <c r="I9" s="70" t="n">
        <v>26.3239</v>
      </c>
      <c r="J9" s="70" t="n">
        <v>29.8852</v>
      </c>
      <c r="K9" s="70" t="n">
        <v>26.0623</v>
      </c>
      <c r="L9" s="70" t="n">
        <v>29.9805</v>
      </c>
      <c r="M9" s="70" t="n">
        <v>29.8961</v>
      </c>
      <c r="N9" s="46">
        <f>IF(COUNT(F9:M9)=0,"",INDEX($F$4:$M$4,MATCH(MAX(F9:M9),F9:M9,0)))</f>
        <v/>
      </c>
      <c r="O9" s="71">
        <f>IF(OR(N9="",F9="",F9=0),"",(MAX(F9:M9)-F9)/ABS(F9))</f>
        <v/>
      </c>
    </row>
    <row r="10" ht="24" customHeight="1" s="41">
      <c r="A10" s="47" t="inlineStr">
        <is>
          <t>Tempo de ciclo do pedido (do pedido à expedição)</t>
        </is>
      </c>
      <c r="B10" s="46" t="inlineStr">
        <is>
          <t>h</t>
        </is>
      </c>
      <c r="C10" s="46" t="inlineStr">
        <is>
          <t>Menor</t>
        </is>
      </c>
      <c r="D10" s="46" t="inlineStr">
        <is>
          <t>Principal</t>
        </is>
      </c>
      <c r="E10" s="50" t="n">
        <v>2</v>
      </c>
      <c r="F10" s="70" t="n">
        <v>0.095</v>
      </c>
      <c r="G10" s="70" t="n">
        <v>0.0423</v>
      </c>
      <c r="H10" s="70" t="n">
        <v>0.0883</v>
      </c>
      <c r="I10" s="70" t="n">
        <v>0.07049999999999999</v>
      </c>
      <c r="J10" s="70" t="n">
        <v>0.0367</v>
      </c>
      <c r="K10" s="70" t="n">
        <v>0.0411</v>
      </c>
      <c r="L10" s="70" t="n">
        <v>0.0595</v>
      </c>
      <c r="M10" s="70" t="n">
        <v>0.0356</v>
      </c>
      <c r="N10" s="46">
        <f>IF(COUNT(F10:M10)=0,"",INDEX($F$4:$M$4,MATCH(MIN(F10:M10),F10:M10,0)))</f>
        <v/>
      </c>
      <c r="O10" s="71">
        <f>IF(OR(N10="",F10="",F10=0),"",(MIN(F10:M10)-F10)/ABS(F10))</f>
        <v/>
      </c>
    </row>
    <row r="11" ht="24" customHeight="1" s="41">
      <c r="A11" s="47" t="inlineStr">
        <is>
          <t>Distância percorrida por pedido</t>
        </is>
      </c>
      <c r="B11" s="46" t="inlineStr">
        <is>
          <t>m</t>
        </is>
      </c>
      <c r="C11" s="46" t="inlineStr">
        <is>
          <t>Menor</t>
        </is>
      </c>
      <c r="D11" s="46" t="inlineStr">
        <is>
          <t>Principal</t>
        </is>
      </c>
      <c r="E11" s="50" t="n">
        <v>1</v>
      </c>
      <c r="F11" s="70" t="n">
        <v>46.4909</v>
      </c>
      <c r="G11" s="70" t="n">
        <v>46.4782</v>
      </c>
      <c r="H11" s="70" t="n">
        <v>45.1332</v>
      </c>
      <c r="I11" s="70" t="n">
        <v>46.3091</v>
      </c>
      <c r="J11" s="70" t="n">
        <v>44.7667</v>
      </c>
      <c r="K11" s="70" t="n">
        <v>46.3128</v>
      </c>
      <c r="L11" s="70" t="n">
        <v>44.8813</v>
      </c>
      <c r="M11" s="70" t="n">
        <v>44.4982</v>
      </c>
      <c r="N11" s="46">
        <f>IF(COUNT(F11:M11)=0,"",INDEX($F$4:$M$4,MATCH(MIN(F11:M11),F11:M11,0)))</f>
        <v/>
      </c>
      <c r="O11" s="71">
        <f>IF(OR(N11="",F11="",F11=0),"",(MIN(F11:M11)-F11)/ABS(F11))</f>
        <v/>
      </c>
    </row>
    <row r="12" ht="24" customHeight="1" s="41">
      <c r="A12" s="47" t="inlineStr">
        <is>
          <t>Tempo gasto procurando itens</t>
        </is>
      </c>
      <c r="B12" s="46" t="inlineStr">
        <is>
          <t>min/dia</t>
        </is>
      </c>
      <c r="C12" s="46" t="inlineStr">
        <is>
          <t>Menor</t>
        </is>
      </c>
      <c r="D12" s="46" t="inlineStr">
        <is>
          <t>Principal</t>
        </is>
      </c>
      <c r="E12" s="50" t="n">
        <v>1</v>
      </c>
      <c r="F12" s="70" t="n">
        <v>0.2082</v>
      </c>
      <c r="G12" s="70" t="n">
        <v>0.0027</v>
      </c>
      <c r="H12" s="70" t="n">
        <v>0.2521</v>
      </c>
      <c r="I12" s="70" t="n">
        <v>0.263</v>
      </c>
      <c r="J12" s="70" t="n">
        <v>0.0046</v>
      </c>
      <c r="K12" s="70" t="n">
        <v>0.0018</v>
      </c>
      <c r="L12" s="70" t="n">
        <v>0.2411</v>
      </c>
      <c r="M12" s="70" t="n">
        <v>0.0027</v>
      </c>
      <c r="N12" s="46">
        <f>IF(COUNT(F12:M12)=0,"",INDEX($F$4:$M$4,MATCH(MIN(F12:M12),F12:M12,0)))</f>
        <v/>
      </c>
      <c r="O12" s="71">
        <f>IF(OR(N12="",F12="",F12=0),"",(MIN(F12:M12)-F12)/ABS(F12))</f>
        <v/>
      </c>
    </row>
    <row r="13" ht="24" customHeight="1" s="41">
      <c r="A13" s="47" t="inlineStr">
        <is>
          <t>Tempo de recebimento por lote</t>
        </is>
      </c>
      <c r="B13" s="46" t="inlineStr">
        <is>
          <t>min</t>
        </is>
      </c>
      <c r="C13" s="46" t="inlineStr">
        <is>
          <t>Menor</t>
        </is>
      </c>
      <c r="D13" s="46" t="inlineStr">
        <is>
          <t>Principal</t>
        </is>
      </c>
      <c r="E13" s="50" t="n">
        <v>2</v>
      </c>
      <c r="F13" s="70" t="n">
        <v>46.5135</v>
      </c>
      <c r="G13" s="70" t="n">
        <v>16.5223</v>
      </c>
      <c r="H13" s="70" t="n">
        <v>46.5314</v>
      </c>
      <c r="I13" s="70" t="n">
        <v>46.5204</v>
      </c>
      <c r="J13" s="70" t="n">
        <v>16.5461</v>
      </c>
      <c r="K13" s="70" t="n">
        <v>16.5243</v>
      </c>
      <c r="L13" s="70" t="n">
        <v>46.5394</v>
      </c>
      <c r="M13" s="70" t="n">
        <v>16.5478</v>
      </c>
      <c r="N13" s="46">
        <f>IF(COUNT(F13:M13)=0,"",INDEX($F$4:$M$4,MATCH(MIN(F13:M13),F13:M13,0)))</f>
        <v/>
      </c>
      <c r="O13" s="71">
        <f>IF(OR(N13="",F13="",F13=0),"",(MIN(F13:M13)-F13)/ABS(F13))</f>
        <v/>
      </c>
    </row>
    <row r="14" ht="24" customHeight="1" s="41">
      <c r="A14" s="47" t="inlineStr">
        <is>
          <t>Tempo de inventário e contagem cíclica</t>
        </is>
      </c>
      <c r="B14" s="46" t="inlineStr">
        <is>
          <t>h/mês</t>
        </is>
      </c>
      <c r="C14" s="46" t="inlineStr">
        <is>
          <t>Menor</t>
        </is>
      </c>
      <c r="D14" s="46" t="inlineStr">
        <is>
          <t>Principal</t>
        </is>
      </c>
      <c r="E14" s="50" t="n">
        <v>2</v>
      </c>
      <c r="F14" s="70" t="n">
        <v>1.6955</v>
      </c>
      <c r="G14" s="70" t="n">
        <v>0.625</v>
      </c>
      <c r="H14" s="70" t="n">
        <v>1.7429</v>
      </c>
      <c r="I14" s="70" t="n">
        <v>1.6857</v>
      </c>
      <c r="J14" s="70" t="n">
        <v>0.625</v>
      </c>
      <c r="K14" s="70" t="n">
        <v>0.625</v>
      </c>
      <c r="L14" s="70" t="n">
        <v>1.6857</v>
      </c>
      <c r="M14" s="70" t="n">
        <v>0.625</v>
      </c>
      <c r="N14" s="46">
        <f>IF(COUNT(F14:M14)=0,"",INDEX($F$4:$M$4,MATCH(MIN(F14:M14),F14:M14,0)))</f>
        <v/>
      </c>
      <c r="O14" s="71">
        <f>IF(OR(N14="",F14="",F14=0),"",(MIN(F14:M14)-F14)/ABS(F14))</f>
        <v/>
      </c>
    </row>
    <row r="15" ht="24" customHeight="1" s="41">
      <c r="A15" s="47" t="inlineStr">
        <is>
          <t>Taxa de erro de separação</t>
        </is>
      </c>
      <c r="B15" s="46" t="inlineStr">
        <is>
          <t>% dos pedidos</t>
        </is>
      </c>
      <c r="C15" s="46" t="inlineStr">
        <is>
          <t>Menor</t>
        </is>
      </c>
      <c r="D15" s="46" t="inlineStr">
        <is>
          <t>Principal</t>
        </is>
      </c>
      <c r="E15" s="50" t="n">
        <v>2</v>
      </c>
      <c r="F15" s="60" t="n">
        <v>0.0618</v>
      </c>
      <c r="G15" s="60" t="n">
        <v>0.0619</v>
      </c>
      <c r="H15" s="60" t="n">
        <v>0.0102</v>
      </c>
      <c r="I15" s="60" t="n">
        <v>0.06519999999999999</v>
      </c>
      <c r="J15" s="60" t="n">
        <v>0.0103</v>
      </c>
      <c r="K15" s="60" t="n">
        <v>0.0654</v>
      </c>
      <c r="L15" s="60" t="n">
        <v>0.0108</v>
      </c>
      <c r="M15" s="60" t="n">
        <v>0.0108</v>
      </c>
      <c r="N15" s="46">
        <f>IF(COUNT(F15:M15)=0,"",INDEX($F$4:$M$4,MATCH(MIN(F15:M15),F15:M15,0)))</f>
        <v/>
      </c>
      <c r="O15" s="71">
        <f>IF(OR(N15="",F15="",F15=0),"",(MIN(F15:M15)-F15)/ABS(F15))</f>
        <v/>
      </c>
    </row>
    <row r="16" ht="24" customHeight="1" s="41">
      <c r="A16" s="47" t="inlineStr">
        <is>
          <t>Retrabalho e correções internas</t>
        </is>
      </c>
      <c r="B16" s="46" t="inlineStr">
        <is>
          <t>% dos pedidos</t>
        </is>
      </c>
      <c r="C16" s="46" t="inlineStr">
        <is>
          <t>Menor</t>
        </is>
      </c>
      <c r="D16" s="46" t="inlineStr">
        <is>
          <t>Principal</t>
        </is>
      </c>
      <c r="E16" s="50" t="n">
        <v>1</v>
      </c>
      <c r="F16" s="60" t="n">
        <v>0.0435</v>
      </c>
      <c r="G16" s="60" t="n">
        <v>0.0548</v>
      </c>
      <c r="H16" s="60" t="n">
        <v>0.0004</v>
      </c>
      <c r="I16" s="60" t="n">
        <v>0.0459</v>
      </c>
      <c r="J16" s="60" t="n">
        <v>0.0005</v>
      </c>
      <c r="K16" s="60" t="n">
        <v>0.0579</v>
      </c>
      <c r="L16" s="60" t="n">
        <v>0.0005999999999999999</v>
      </c>
      <c r="M16" s="60" t="n">
        <v>0.0005999999999999999</v>
      </c>
      <c r="N16" s="46">
        <f>IF(COUNT(F16:M16)=0,"",INDEX($F$4:$M$4,MATCH(MIN(F16:M16),F16:M16,0)))</f>
        <v/>
      </c>
      <c r="O16" s="71">
        <f>IF(OR(N16="",F16="",F16=0),"",(MIN(F16:M16)-F16)/ABS(F16))</f>
        <v/>
      </c>
    </row>
    <row r="17" ht="24" customHeight="1" s="41">
      <c r="A17" s="47" t="inlineStr">
        <is>
          <t>Utilização dos operadores</t>
        </is>
      </c>
      <c r="B17" s="46" t="inlineStr">
        <is>
          <t>% do tempo</t>
        </is>
      </c>
      <c r="C17" s="46" t="inlineStr">
        <is>
          <t>Informativo</t>
        </is>
      </c>
      <c r="D17" s="46" t="inlineStr">
        <is>
          <t>Principal</t>
        </is>
      </c>
      <c r="E17" s="46" t="n"/>
      <c r="F17" s="60" t="n">
        <v>0.2824</v>
      </c>
      <c r="G17" s="60" t="n">
        <v>0.1821</v>
      </c>
      <c r="H17" s="60" t="n">
        <v>0.2692</v>
      </c>
      <c r="I17" s="60" t="n">
        <v>0.2384</v>
      </c>
      <c r="J17" s="60" t="n">
        <v>0.1658</v>
      </c>
      <c r="K17" s="60" t="n">
        <v>0.1656</v>
      </c>
      <c r="L17" s="60" t="n">
        <v>0.2232</v>
      </c>
      <c r="M17" s="60" t="n">
        <v>0.1497</v>
      </c>
      <c r="N17" s="46" t="n"/>
      <c r="O17" s="46" t="n"/>
    </row>
    <row r="18" ht="15" customHeight="1" s="41">
      <c r="A18" s="72" t="inlineStr">
        <is>
          <t>2. Nível de serviço</t>
        </is>
      </c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</row>
    <row r="19" ht="24" customHeight="1" s="41">
      <c r="A19" s="47" t="inlineStr">
        <is>
          <t>Nível de serviço (fill rate)</t>
        </is>
      </c>
      <c r="B19" s="46" t="inlineStr">
        <is>
          <t>% da demanda</t>
        </is>
      </c>
      <c r="C19" s="46" t="inlineStr">
        <is>
          <t>Maior</t>
        </is>
      </c>
      <c r="D19" s="46" t="inlineStr">
        <is>
          <t>Complementar</t>
        </is>
      </c>
      <c r="E19" s="46" t="n"/>
      <c r="F19" s="60" t="n">
        <v>0.9262</v>
      </c>
      <c r="G19" s="60" t="n">
        <v>0.9281</v>
      </c>
      <c r="H19" s="60" t="n">
        <v>0.9277</v>
      </c>
      <c r="I19" s="60" t="n">
        <v>0.9912</v>
      </c>
      <c r="J19" s="60" t="n">
        <v>0.9275</v>
      </c>
      <c r="K19" s="60" t="n">
        <v>0.9913</v>
      </c>
      <c r="L19" s="60" t="n">
        <v>0.9912</v>
      </c>
      <c r="M19" s="60" t="n">
        <v>0.9919</v>
      </c>
      <c r="N19" s="46">
        <f>IF(COUNT(F19:M19)=0,"",INDEX($F$4:$M$4,MATCH(MAX(F19:M19),F19:M19,0)))</f>
        <v/>
      </c>
      <c r="O19" s="71">
        <f>IF(OR(N19="",F19="",F19=0),"",(MAX(F19:M19)-F19)/ABS(F19))</f>
        <v/>
      </c>
    </row>
    <row r="20" ht="24" customHeight="1" s="41">
      <c r="A20" s="47" t="inlineStr">
        <is>
          <t>Pedidos completos e no prazo (OTIF)</t>
        </is>
      </c>
      <c r="B20" s="46" t="inlineStr">
        <is>
          <t>% dos pedidos</t>
        </is>
      </c>
      <c r="C20" s="46" t="inlineStr">
        <is>
          <t>Maior</t>
        </is>
      </c>
      <c r="D20" s="46" t="inlineStr">
        <is>
          <t>Complementar</t>
        </is>
      </c>
      <c r="E20" s="46" t="n"/>
      <c r="F20" s="60" t="n">
        <v>0.8232</v>
      </c>
      <c r="G20" s="60" t="n">
        <v>0.8381</v>
      </c>
      <c r="H20" s="60" t="n">
        <v>0.8423</v>
      </c>
      <c r="I20" s="60" t="n">
        <v>0.959</v>
      </c>
      <c r="J20" s="60" t="n">
        <v>0.8431</v>
      </c>
      <c r="K20" s="60" t="n">
        <v>0.9717</v>
      </c>
      <c r="L20" s="60" t="n">
        <v>0.9789</v>
      </c>
      <c r="M20" s="60" t="n">
        <v>0.9805</v>
      </c>
      <c r="N20" s="46">
        <f>IF(COUNT(F20:M20)=0,"",INDEX($F$4:$M$4,MATCH(MAX(F20:M20),F20:M20,0)))</f>
        <v/>
      </c>
      <c r="O20" s="71">
        <f>IF(OR(N20="",F20="",F20=0),"",(MAX(F20:M20)-F20)/ABS(F20))</f>
        <v/>
      </c>
    </row>
    <row r="21" ht="24" customHeight="1" s="41">
      <c r="A21" s="47" t="inlineStr">
        <is>
          <t>Dias de ruptura</t>
        </is>
      </c>
      <c r="B21" s="46" t="inlineStr">
        <is>
          <t>dias</t>
        </is>
      </c>
      <c r="C21" s="46" t="inlineStr">
        <is>
          <t>Menor</t>
        </is>
      </c>
      <c r="D21" s="46" t="inlineStr">
        <is>
          <t>Complementar</t>
        </is>
      </c>
      <c r="E21" s="46" t="n"/>
      <c r="F21" s="70" t="n">
        <v>983</v>
      </c>
      <c r="G21" s="70" t="n">
        <v>946</v>
      </c>
      <c r="H21" s="70" t="n">
        <v>961</v>
      </c>
      <c r="I21" s="70" t="n">
        <v>162</v>
      </c>
      <c r="J21" s="70" t="n">
        <v>941</v>
      </c>
      <c r="K21" s="70" t="n">
        <v>133</v>
      </c>
      <c r="L21" s="70" t="n">
        <v>152</v>
      </c>
      <c r="M21" s="70" t="n">
        <v>133</v>
      </c>
      <c r="N21" s="46">
        <f>IF(COUNT(F21:M21)=0,"",INDEX($F$4:$M$4,MATCH(MIN(F21:M21),F21:M21,0)))</f>
        <v/>
      </c>
      <c r="O21" s="71">
        <f>IF(OR(N21="",F21="",F21=0),"",(MIN(F21:M21)-F21)/ABS(F21))</f>
        <v/>
      </c>
    </row>
    <row r="22" ht="24" customHeight="1" s="41">
      <c r="A22" s="47" t="inlineStr">
        <is>
          <t>Itens com ruptura</t>
        </is>
      </c>
      <c r="B22" s="46" t="inlineStr">
        <is>
          <t>% dos itens</t>
        </is>
      </c>
      <c r="C22" s="46" t="inlineStr">
        <is>
          <t>Menor</t>
        </is>
      </c>
      <c r="D22" s="46" t="inlineStr">
        <is>
          <t>Complementar</t>
        </is>
      </c>
      <c r="E22" s="46" t="n"/>
      <c r="F22" s="60" t="n">
        <v>0.9833</v>
      </c>
      <c r="G22" s="60" t="n">
        <v>0.9667</v>
      </c>
      <c r="H22" s="60" t="n">
        <v>0.9667</v>
      </c>
      <c r="I22" s="60" t="n">
        <v>0.75</v>
      </c>
      <c r="J22" s="60" t="n">
        <v>0.9667</v>
      </c>
      <c r="K22" s="60" t="n">
        <v>0.7167</v>
      </c>
      <c r="L22" s="60" t="n">
        <v>0.75</v>
      </c>
      <c r="M22" s="60" t="n">
        <v>0.7167</v>
      </c>
      <c r="N22" s="46">
        <f>IF(COUNT(F22:M22)=0,"",INDEX($F$4:$M$4,MATCH(MIN(F22:M22),F22:M22,0)))</f>
        <v/>
      </c>
      <c r="O22" s="71">
        <f>IF(OR(N22="",F22="",F22=0),"",(MIN(F22:M22)-F22)/ABS(F22))</f>
        <v/>
      </c>
    </row>
    <row r="23" ht="15" customHeight="1" s="41">
      <c r="A23" s="72" t="inlineStr">
        <is>
          <t>3. Acurácia do inventário</t>
        </is>
      </c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</row>
    <row r="24" ht="24" customHeight="1" s="41">
      <c r="A24" s="47" t="inlineStr">
        <is>
          <t>Divergência de inventário</t>
        </is>
      </c>
      <c r="B24" s="46" t="inlineStr">
        <is>
          <t>% dos itens</t>
        </is>
      </c>
      <c r="C24" s="46" t="inlineStr">
        <is>
          <t>Menor</t>
        </is>
      </c>
      <c r="D24" s="46" t="inlineStr">
        <is>
          <t>Complementar</t>
        </is>
      </c>
      <c r="E24" s="46" t="n"/>
      <c r="F24" s="60" t="n">
        <v>0.4316</v>
      </c>
      <c r="G24" s="60" t="n">
        <v>0.09619999999999999</v>
      </c>
      <c r="H24" s="60" t="n">
        <v>0.1365</v>
      </c>
      <c r="I24" s="60" t="n">
        <v>0.4457</v>
      </c>
      <c r="J24" s="60" t="n">
        <v>0.0521</v>
      </c>
      <c r="K24" s="60" t="n">
        <v>0.0999</v>
      </c>
      <c r="L24" s="60" t="n">
        <v>0.1411</v>
      </c>
      <c r="M24" s="60" t="n">
        <v>0.0547</v>
      </c>
      <c r="N24" s="46">
        <f>IF(COUNT(F24:M24)=0,"",INDEX($F$4:$M$4,MATCH(MIN(F24:M24),F24:M24,0)))</f>
        <v/>
      </c>
      <c r="O24" s="71">
        <f>IF(OR(N24="",F24="",F24=0),"",(MIN(F24:M24)-F24)/ABS(F24))</f>
        <v/>
      </c>
    </row>
    <row r="25" ht="24" customHeight="1" s="41">
      <c r="A25" s="47" t="inlineStr">
        <is>
          <t>Acurácia de localização</t>
        </is>
      </c>
      <c r="B25" s="46" t="inlineStr">
        <is>
          <t>% dos itens</t>
        </is>
      </c>
      <c r="C25" s="46" t="inlineStr">
        <is>
          <t>Maior</t>
        </is>
      </c>
      <c r="D25" s="46" t="inlineStr">
        <is>
          <t>Complementar</t>
        </is>
      </c>
      <c r="E25" s="46" t="n"/>
      <c r="F25" s="60" t="n">
        <v>0.9989</v>
      </c>
      <c r="G25" s="60" t="n">
        <v>0.9999</v>
      </c>
      <c r="H25" s="60" t="n">
        <v>0.9989</v>
      </c>
      <c r="I25" s="60" t="n">
        <v>0.9989</v>
      </c>
      <c r="J25" s="60" t="n">
        <v>0.9997</v>
      </c>
      <c r="K25" s="60" t="n">
        <v>1</v>
      </c>
      <c r="L25" s="60" t="n">
        <v>0.999</v>
      </c>
      <c r="M25" s="60" t="n">
        <v>1</v>
      </c>
      <c r="N25" s="46">
        <f>IF(COUNT(F25:M25)=0,"",INDEX($F$4:$M$4,MATCH(MAX(F25:M25),F25:M25,0)))</f>
        <v/>
      </c>
      <c r="O25" s="71">
        <f>IF(OR(N25="",F25="",F25=0),"",(MAX(F25:M25)-F25)/ABS(F25))</f>
        <v/>
      </c>
    </row>
    <row r="26" ht="24" customHeight="1" s="41">
      <c r="A26" s="47" t="inlineStr">
        <is>
          <t>Estoque fantasma</t>
        </is>
      </c>
      <c r="B26" s="46" t="inlineStr">
        <is>
          <t>R$</t>
        </is>
      </c>
      <c r="C26" s="46" t="inlineStr">
        <is>
          <t>Menor</t>
        </is>
      </c>
      <c r="D26" s="46" t="inlineStr">
        <is>
          <t>Complementar</t>
        </is>
      </c>
      <c r="E26" s="46" t="n"/>
      <c r="F26" s="74" t="n">
        <v>1795.0048</v>
      </c>
      <c r="G26" s="74" t="n">
        <v>254.6132</v>
      </c>
      <c r="H26" s="74" t="n">
        <v>383.8764</v>
      </c>
      <c r="I26" s="74" t="n">
        <v>1962.6041</v>
      </c>
      <c r="J26" s="74" t="n">
        <v>122.0371</v>
      </c>
      <c r="K26" s="74" t="n">
        <v>269.667</v>
      </c>
      <c r="L26" s="74" t="n">
        <v>423.8799</v>
      </c>
      <c r="M26" s="74" t="n">
        <v>128.5576</v>
      </c>
      <c r="N26" s="46">
        <f>IF(COUNT(F26:M26)=0,"",INDEX($F$4:$M$4,MATCH(MIN(F26:M26),F26:M26,0)))</f>
        <v/>
      </c>
      <c r="O26" s="71">
        <f>IF(OR(N26="",F26="",F26=0),"",(MIN(F26:M26)-F26)/ABS(F26))</f>
        <v/>
      </c>
    </row>
    <row r="27" ht="24" customHeight="1" s="41">
      <c r="A27" s="47" t="inlineStr">
        <is>
          <t>Perdas, avarias e extravios</t>
        </is>
      </c>
      <c r="B27" s="46" t="inlineStr">
        <is>
          <t>R$/ano</t>
        </is>
      </c>
      <c r="C27" s="46" t="inlineStr">
        <is>
          <t>Menor</t>
        </is>
      </c>
      <c r="D27" s="46" t="inlineStr">
        <is>
          <t>Complementar</t>
        </is>
      </c>
      <c r="E27" s="46" t="n"/>
      <c r="F27" s="74" t="n">
        <v>2722.23</v>
      </c>
      <c r="G27" s="74" t="n">
        <v>0</v>
      </c>
      <c r="H27" s="74" t="n">
        <v>3046.68</v>
      </c>
      <c r="I27" s="74" t="n">
        <v>5446.28</v>
      </c>
      <c r="J27" s="74" t="n">
        <v>0</v>
      </c>
      <c r="K27" s="74" t="n">
        <v>0</v>
      </c>
      <c r="L27" s="74" t="n">
        <v>4345.98</v>
      </c>
      <c r="M27" s="74" t="n">
        <v>0</v>
      </c>
      <c r="N27" s="46">
        <f>IF(COUNT(F27:M27)=0,"",INDEX($F$4:$M$4,MATCH(MIN(F27:M27),F27:M27,0)))</f>
        <v/>
      </c>
      <c r="O27" s="71">
        <f>IF(OR(N27="",F27="",F27=0),"",(MIN(F27:M27)-F27)/ABS(F27))</f>
        <v/>
      </c>
    </row>
    <row r="28" ht="15" customHeight="1" s="41">
      <c r="A28" s="72" t="inlineStr">
        <is>
          <t>4. Estoque e reposição</t>
        </is>
      </c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</row>
    <row r="29" ht="24" customHeight="1" s="41">
      <c r="A29" s="47" t="inlineStr">
        <is>
          <t>Estoque médio</t>
        </is>
      </c>
      <c r="B29" s="46" t="inlineStr">
        <is>
          <t>R$</t>
        </is>
      </c>
      <c r="C29" s="46" t="inlineStr">
        <is>
          <t>Menor</t>
        </is>
      </c>
      <c r="D29" s="46" t="inlineStr">
        <is>
          <t>Complementar</t>
        </is>
      </c>
      <c r="E29" s="46" t="n"/>
      <c r="F29" s="74" t="n">
        <v>73851.4578</v>
      </c>
      <c r="G29" s="74" t="n">
        <v>74780.26979999999</v>
      </c>
      <c r="H29" s="74" t="n">
        <v>74817.93489999999</v>
      </c>
      <c r="I29" s="74" t="n">
        <v>127096.4135</v>
      </c>
      <c r="J29" s="74" t="n">
        <v>75052.38589999999</v>
      </c>
      <c r="K29" s="74" t="n">
        <v>129787.8484</v>
      </c>
      <c r="L29" s="74" t="n">
        <v>129403.7252</v>
      </c>
      <c r="M29" s="74" t="n">
        <v>130090.5673</v>
      </c>
      <c r="N29" s="46">
        <f>IF(COUNT(F29:M29)=0,"",INDEX($F$4:$M$4,MATCH(MIN(F29:M29),F29:M29,0)))</f>
        <v/>
      </c>
      <c r="O29" s="71">
        <f>IF(OR(N29="",F29="",F29=0),"",(MIN(F29:M29)-F29)/ABS(F29))</f>
        <v/>
      </c>
    </row>
    <row r="30" ht="24" customHeight="1" s="41">
      <c r="A30" s="47" t="inlineStr">
        <is>
          <t>Giro anual</t>
        </is>
      </c>
      <c r="B30" s="46" t="inlineStr">
        <is>
          <t>vezes/ano</t>
        </is>
      </c>
      <c r="C30" s="46" t="inlineStr">
        <is>
          <t>Maior</t>
        </is>
      </c>
      <c r="D30" s="46" t="inlineStr">
        <is>
          <t>Complementar</t>
        </is>
      </c>
      <c r="E30" s="46" t="n"/>
      <c r="F30" s="70" t="n">
        <v>26.3998</v>
      </c>
      <c r="G30" s="70" t="n">
        <v>26.1414</v>
      </c>
      <c r="H30" s="70" t="n">
        <v>26.1129</v>
      </c>
      <c r="I30" s="70" t="n">
        <v>16.3195</v>
      </c>
      <c r="J30" s="70" t="n">
        <v>26.0352</v>
      </c>
      <c r="K30" s="70" t="n">
        <v>15.9847</v>
      </c>
      <c r="L30" s="70" t="n">
        <v>16.0291</v>
      </c>
      <c r="M30" s="70" t="n">
        <v>15.9518</v>
      </c>
      <c r="N30" s="46">
        <f>IF(COUNT(F30:M30)=0,"",INDEX($F$4:$M$4,MATCH(MAX(F30:M30),F30:M30,0)))</f>
        <v/>
      </c>
      <c r="O30" s="71">
        <f>IF(OR(N30="",F30="",F30=0),"",(MAX(F30:M30)-F30)/ABS(F30))</f>
        <v/>
      </c>
    </row>
    <row r="31" ht="24" customHeight="1" s="41">
      <c r="A31" s="47" t="inlineStr">
        <is>
          <t>Cobertura média de estoque</t>
        </is>
      </c>
      <c r="B31" s="46" t="inlineStr">
        <is>
          <t>dias</t>
        </is>
      </c>
      <c r="C31" s="46" t="inlineStr">
        <is>
          <t>Informativo</t>
        </is>
      </c>
      <c r="D31" s="46" t="inlineStr">
        <is>
          <t>Complementar</t>
        </is>
      </c>
      <c r="E31" s="46" t="n"/>
      <c r="F31" s="70" t="n">
        <v>12.1922</v>
      </c>
      <c r="G31" s="70" t="n">
        <v>12.3417</v>
      </c>
      <c r="H31" s="70" t="n">
        <v>12.3761</v>
      </c>
      <c r="I31" s="70" t="n">
        <v>21.2096</v>
      </c>
      <c r="J31" s="70" t="n">
        <v>12.3986</v>
      </c>
      <c r="K31" s="70" t="n">
        <v>21.7605</v>
      </c>
      <c r="L31" s="70" t="n">
        <v>21.6366</v>
      </c>
      <c r="M31" s="70" t="n">
        <v>21.8214</v>
      </c>
      <c r="N31" s="46" t="n"/>
      <c r="O31" s="46" t="n"/>
    </row>
    <row r="32" ht="24" customHeight="1" s="41">
      <c r="A32" s="47" t="inlineStr">
        <is>
          <t>Pedidos de compra emitidos</t>
        </is>
      </c>
      <c r="B32" s="46" t="inlineStr">
        <is>
          <t>pedidos/ano</t>
        </is>
      </c>
      <c r="C32" s="46" t="inlineStr">
        <is>
          <t>Menor</t>
        </is>
      </c>
      <c r="D32" s="46" t="inlineStr">
        <is>
          <t>Complementar</t>
        </is>
      </c>
      <c r="E32" s="46" t="n"/>
      <c r="F32" s="70" t="n">
        <v>1359</v>
      </c>
      <c r="G32" s="70" t="n">
        <v>1380</v>
      </c>
      <c r="H32" s="70" t="n">
        <v>1372</v>
      </c>
      <c r="I32" s="70" t="n">
        <v>973</v>
      </c>
      <c r="J32" s="70" t="n">
        <v>1366</v>
      </c>
      <c r="K32" s="70" t="n">
        <v>971</v>
      </c>
      <c r="L32" s="70" t="n">
        <v>974</v>
      </c>
      <c r="M32" s="70" t="n">
        <v>972</v>
      </c>
      <c r="N32" s="46">
        <f>IF(COUNT(F32:M32)=0,"",INDEX($F$4:$M$4,MATCH(MIN(F32:M32),F32:M32,0)))</f>
        <v/>
      </c>
      <c r="O32" s="71">
        <f>IF(OR(N32="",F32="",F32=0),"",(MIN(F32:M32)-F32)/ABS(F32))</f>
        <v/>
      </c>
    </row>
    <row r="33" ht="24" customHeight="1" s="41">
      <c r="A33" s="47" t="inlineStr">
        <is>
          <t>Compras emergenciais</t>
        </is>
      </c>
      <c r="B33" s="46" t="inlineStr">
        <is>
          <t>pedidos/ano</t>
        </is>
      </c>
      <c r="C33" s="46" t="inlineStr">
        <is>
          <t>Menor</t>
        </is>
      </c>
      <c r="D33" s="46" t="inlineStr">
        <is>
          <t>Complementar</t>
        </is>
      </c>
      <c r="E33" s="46" t="n"/>
      <c r="F33" s="70" t="n">
        <v>40</v>
      </c>
      <c r="G33" s="70" t="n">
        <v>33</v>
      </c>
      <c r="H33" s="70" t="n">
        <v>33</v>
      </c>
      <c r="I33" s="70" t="n">
        <v>12</v>
      </c>
      <c r="J33" s="70" t="n">
        <v>33</v>
      </c>
      <c r="K33" s="70" t="n">
        <v>8</v>
      </c>
      <c r="L33" s="70" t="n">
        <v>10</v>
      </c>
      <c r="M33" s="70" t="n">
        <v>11</v>
      </c>
      <c r="N33" s="46">
        <f>IF(COUNT(F33:M33)=0,"",INDEX($F$4:$M$4,MATCH(MIN(F33:M33),F33:M33,0)))</f>
        <v/>
      </c>
      <c r="O33" s="71">
        <f>IF(OR(N33="",F33="",F33=0),"",(MIN(F33:M33)-F33)/ABS(F33))</f>
        <v/>
      </c>
    </row>
    <row r="34" ht="24" customHeight="1" s="41">
      <c r="A34" s="47" t="inlineStr">
        <is>
          <t>Itens parados (sem saída há 90 dias)</t>
        </is>
      </c>
      <c r="B34" s="46" t="inlineStr">
        <is>
          <t>% dos itens</t>
        </is>
      </c>
      <c r="C34" s="46" t="inlineStr">
        <is>
          <t>Menor</t>
        </is>
      </c>
      <c r="D34" s="46" t="inlineStr">
        <is>
          <t>Complementar</t>
        </is>
      </c>
      <c r="E34" s="46" t="n"/>
      <c r="F34" s="60" t="n">
        <v>0</v>
      </c>
      <c r="G34" s="60" t="n">
        <v>0</v>
      </c>
      <c r="H34" s="60" t="n">
        <v>0</v>
      </c>
      <c r="I34" s="60" t="n">
        <v>0</v>
      </c>
      <c r="J34" s="60" t="n">
        <v>0</v>
      </c>
      <c r="K34" s="60" t="n">
        <v>0</v>
      </c>
      <c r="L34" s="60" t="n">
        <v>0</v>
      </c>
      <c r="M34" s="60" t="n">
        <v>0</v>
      </c>
      <c r="N34" s="46">
        <f>IF(COUNT(F34:M34)=0,"",INDEX($F$4:$M$4,MATCH(MIN(F34:M34),F34:M34,0)))</f>
        <v/>
      </c>
      <c r="O34" s="71">
        <f>IF(OR(N34="",F34="",F34=0),"",(MIN(F34:M34)-F34)/ABS(F34))</f>
        <v/>
      </c>
    </row>
    <row r="35" ht="24" customHeight="1" s="41">
      <c r="A35" s="47" t="inlineStr">
        <is>
          <t>Ocupação do espaço</t>
        </is>
      </c>
      <c r="B35" s="46" t="inlineStr">
        <is>
          <t>% das posições</t>
        </is>
      </c>
      <c r="C35" s="46" t="inlineStr">
        <is>
          <t>Informativo</t>
        </is>
      </c>
      <c r="D35" s="46" t="inlineStr">
        <is>
          <t>Complementar</t>
        </is>
      </c>
      <c r="E35" s="46" t="n"/>
      <c r="F35" s="60" t="n">
        <v>0.4686</v>
      </c>
      <c r="G35" s="60" t="n">
        <v>0.47</v>
      </c>
      <c r="H35" s="60" t="n">
        <v>0.47</v>
      </c>
      <c r="I35" s="60" t="n">
        <v>0.4961</v>
      </c>
      <c r="J35" s="60" t="n">
        <v>0.4697</v>
      </c>
      <c r="K35" s="60" t="n">
        <v>0.4964</v>
      </c>
      <c r="L35" s="60" t="n">
        <v>0.4962</v>
      </c>
      <c r="M35" s="60" t="n">
        <v>0.4963</v>
      </c>
      <c r="N35" s="46" t="n"/>
      <c r="O35" s="46" t="n"/>
    </row>
    <row r="36" ht="15" customHeight="1" s="41">
      <c r="A36" s="72" t="inlineStr">
        <is>
          <t>5. Dados e sistema</t>
        </is>
      </c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</row>
    <row r="37" ht="24" customHeight="1" s="41">
      <c r="A37" s="47" t="inlineStr">
        <is>
          <t>Latência da informação</t>
        </is>
      </c>
      <c r="B37" s="46" t="inlineStr">
        <is>
          <t>min</t>
        </is>
      </c>
      <c r="C37" s="46" t="inlineStr">
        <is>
          <t>Menor</t>
        </is>
      </c>
      <c r="D37" s="46" t="inlineStr">
        <is>
          <t>Complementar</t>
        </is>
      </c>
      <c r="E37" s="46" t="n"/>
      <c r="F37" s="70" t="n">
        <v>341.2863</v>
      </c>
      <c r="G37" s="70" t="n">
        <v>18.5621</v>
      </c>
      <c r="H37" s="70" t="n">
        <v>44.3165</v>
      </c>
      <c r="I37" s="70" t="n">
        <v>342.043</v>
      </c>
      <c r="J37" s="70" t="n">
        <v>2.9827</v>
      </c>
      <c r="K37" s="70" t="n">
        <v>18.7084</v>
      </c>
      <c r="L37" s="70" t="n">
        <v>41.5739</v>
      </c>
      <c r="M37" s="70" t="n">
        <v>2.8911</v>
      </c>
      <c r="N37" s="46">
        <f>IF(COUNT(F37:M37)=0,"",INDEX($F$4:$M$4,MATCH(MIN(F37:M37),F37:M37,0)))</f>
        <v/>
      </c>
      <c r="O37" s="71">
        <f>IF(OR(N37="",F37="",F37=0),"",(MIN(F37:M37)-F37)/ABS(F37))</f>
        <v/>
      </c>
    </row>
    <row r="38" ht="24" customHeight="1" s="41">
      <c r="A38" s="47" t="inlineStr">
        <is>
          <t>Cobertura de rastreamento</t>
        </is>
      </c>
      <c r="B38" s="46" t="inlineStr">
        <is>
          <t>% dos movimentos</t>
        </is>
      </c>
      <c r="C38" s="46" t="inlineStr">
        <is>
          <t>Maior</t>
        </is>
      </c>
      <c r="D38" s="46" t="inlineStr">
        <is>
          <t>Complementar</t>
        </is>
      </c>
      <c r="E38" s="46" t="n"/>
      <c r="F38" s="60" t="n">
        <v>0</v>
      </c>
      <c r="G38" s="60" t="n">
        <v>0.9499</v>
      </c>
      <c r="H38" s="60" t="n">
        <v>0.8736</v>
      </c>
      <c r="I38" s="60" t="n">
        <v>0</v>
      </c>
      <c r="J38" s="60" t="n">
        <v>0.9943</v>
      </c>
      <c r="K38" s="60" t="n">
        <v>0.9493</v>
      </c>
      <c r="L38" s="60" t="n">
        <v>0.882</v>
      </c>
      <c r="M38" s="60" t="n">
        <v>0.9946</v>
      </c>
      <c r="N38" s="46">
        <f>IF(COUNT(F38:M38)=0,"",INDEX($F$4:$M$4,MATCH(MAX(F38:M38),F38:M38,0)))</f>
        <v/>
      </c>
      <c r="O38" s="71">
        <f>IF(OR(N38="",F38="",F38=0),"",(MAX(F38:M38)-F38)/ABS(F38))</f>
        <v/>
      </c>
    </row>
    <row r="39" ht="24" customHeight="1" s="41">
      <c r="A39" s="47" t="inlineStr">
        <is>
          <t>Alertas falsos</t>
        </is>
      </c>
      <c r="B39" s="46" t="inlineStr">
        <is>
          <t>alertas/semana</t>
        </is>
      </c>
      <c r="C39" s="46" t="inlineStr">
        <is>
          <t>Menor</t>
        </is>
      </c>
      <c r="D39" s="46" t="inlineStr">
        <is>
          <t>Complementar</t>
        </is>
      </c>
      <c r="E39" s="46" t="n"/>
      <c r="F39" s="70" t="n">
        <v>0</v>
      </c>
      <c r="G39" s="70" t="n">
        <v>3.5863</v>
      </c>
      <c r="H39" s="70" t="n">
        <v>6.8466</v>
      </c>
      <c r="I39" s="70" t="n">
        <v>0</v>
      </c>
      <c r="J39" s="70" t="n">
        <v>10.3945</v>
      </c>
      <c r="K39" s="70" t="n">
        <v>3.7014</v>
      </c>
      <c r="L39" s="70" t="n">
        <v>7.1151</v>
      </c>
      <c r="M39" s="70" t="n">
        <v>10.7781</v>
      </c>
      <c r="N39" s="46">
        <f>IF(COUNT(F39:M39)=0,"",INDEX($F$4:$M$4,MATCH(MIN(F39:M39),F39:M39,0)))</f>
        <v/>
      </c>
      <c r="O39" s="71">
        <f>IF(OR(N39="",F39="",F39=0),"",(MIN(F39:M39)-F39)/ABS(F39))</f>
        <v/>
      </c>
    </row>
    <row r="40" ht="15" customHeight="1" s="41">
      <c r="A40" s="72" t="inlineStr">
        <is>
          <t>6. Custos e retorno</t>
        </is>
      </c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</row>
    <row r="41" ht="24" customHeight="1" s="41">
      <c r="A41" s="47" t="inlineStr">
        <is>
          <t>Custo operacional anual (sem tecnologias)</t>
        </is>
      </c>
      <c r="B41" s="46" t="inlineStr">
        <is>
          <t>R$/ano</t>
        </is>
      </c>
      <c r="C41" s="46" t="inlineStr">
        <is>
          <t>Menor</t>
        </is>
      </c>
      <c r="D41" s="46" t="inlineStr">
        <is>
          <t>Complementar</t>
        </is>
      </c>
      <c r="E41" s="46" t="n"/>
      <c r="F41" s="74" t="n">
        <v>259493.6114</v>
      </c>
      <c r="G41" s="74" t="n">
        <v>234987.9084</v>
      </c>
      <c r="H41" s="74" t="n">
        <v>256284.0085</v>
      </c>
      <c r="I41" s="74" t="n">
        <v>173153.3407</v>
      </c>
      <c r="J41" s="74" t="n">
        <v>230948.149</v>
      </c>
      <c r="K41" s="74" t="n">
        <v>152673.7983</v>
      </c>
      <c r="L41" s="74" t="n">
        <v>169464.9196</v>
      </c>
      <c r="M41" s="74" t="n">
        <v>149201.4247</v>
      </c>
      <c r="N41" s="46">
        <f>IF(COUNT(F41:M41)=0,"",INDEX($F$4:$M$4,MATCH(MIN(F41:M41),F41:M41,0)))</f>
        <v/>
      </c>
      <c r="O41" s="71">
        <f>IF(OR(N41="",F41="",F41=0),"",(MIN(F41:M41)-F41)/ABS(F41))</f>
        <v/>
      </c>
    </row>
    <row r="42" ht="24" customHeight="1" s="41">
      <c r="A42" s="47" t="inlineStr">
        <is>
          <t>Custo anual das tecnologias</t>
        </is>
      </c>
      <c r="B42" s="46" t="inlineStr">
        <is>
          <t>R$/ano</t>
        </is>
      </c>
      <c r="C42" s="46" t="inlineStr">
        <is>
          <t>Informativo</t>
        </is>
      </c>
      <c r="D42" s="46" t="inlineStr">
        <is>
          <t>Complementar</t>
        </is>
      </c>
      <c r="E42" s="46" t="n"/>
      <c r="F42" s="63">
        <f>Cenários!E5</f>
        <v/>
      </c>
      <c r="G42" s="63">
        <f>Cenários!E6</f>
        <v/>
      </c>
      <c r="H42" s="63">
        <f>Cenários!E7</f>
        <v/>
      </c>
      <c r="I42" s="63">
        <f>Cenários!E8</f>
        <v/>
      </c>
      <c r="J42" s="63">
        <f>Cenários!E9</f>
        <v/>
      </c>
      <c r="K42" s="63">
        <f>Cenários!E10</f>
        <v/>
      </c>
      <c r="L42" s="63">
        <f>Cenários!E11</f>
        <v/>
      </c>
      <c r="M42" s="63">
        <f>Cenários!E12</f>
        <v/>
      </c>
      <c r="N42" s="46" t="n"/>
      <c r="O42" s="46" t="n"/>
    </row>
    <row r="43" ht="24" customHeight="1" s="41">
      <c r="A43" s="47" t="inlineStr">
        <is>
          <t>Custo total anual</t>
        </is>
      </c>
      <c r="B43" s="46" t="inlineStr">
        <is>
          <t>R$/ano</t>
        </is>
      </c>
      <c r="C43" s="46" t="inlineStr">
        <is>
          <t>Menor</t>
        </is>
      </c>
      <c r="D43" s="46" t="inlineStr">
        <is>
          <t>Complementar</t>
        </is>
      </c>
      <c r="E43" s="46" t="n"/>
      <c r="F43" s="63">
        <f>IF(F41="","",F41+F42)</f>
        <v/>
      </c>
      <c r="G43" s="63">
        <f>IF(G41="","",G41+G42)</f>
        <v/>
      </c>
      <c r="H43" s="63">
        <f>IF(H41="","",H41+H42)</f>
        <v/>
      </c>
      <c r="I43" s="63">
        <f>IF(I41="","",I41+I42)</f>
        <v/>
      </c>
      <c r="J43" s="63">
        <f>IF(J41="","",J41+J42)</f>
        <v/>
      </c>
      <c r="K43" s="63">
        <f>IF(K41="","",K41+K42)</f>
        <v/>
      </c>
      <c r="L43" s="63">
        <f>IF(L41="","",L41+L42)</f>
        <v/>
      </c>
      <c r="M43" s="63">
        <f>IF(M41="","",M41+M42)</f>
        <v/>
      </c>
      <c r="N43" s="46">
        <f>IF(COUNT(F43:M43)=0,"",INDEX($F$4:$M$4,MATCH(MIN(F43:M43),F43:M43,0)))</f>
        <v/>
      </c>
      <c r="O43" s="71">
        <f>IF(OR(N43="",F43="",F43=0),"",(MIN(F43:M43)-F43)/ABS(F43))</f>
        <v/>
      </c>
    </row>
    <row r="44" ht="24" customHeight="1" s="41">
      <c r="A44" s="47" t="inlineStr">
        <is>
          <t>Economia anual vs. base</t>
        </is>
      </c>
      <c r="B44" s="46" t="inlineStr">
        <is>
          <t>R$/ano</t>
        </is>
      </c>
      <c r="C44" s="46" t="inlineStr">
        <is>
          <t>Maior</t>
        </is>
      </c>
      <c r="D44" s="46" t="inlineStr">
        <is>
          <t>Complementar</t>
        </is>
      </c>
      <c r="E44" s="46" t="n"/>
      <c r="F44" s="63">
        <f>IF(OR(F43="",$F43=""),"",$F43-F43)</f>
        <v/>
      </c>
      <c r="G44" s="63">
        <f>IF(OR(G43="",$F43=""),"",$F43-G43)</f>
        <v/>
      </c>
      <c r="H44" s="63">
        <f>IF(OR(H43="",$F43=""),"",$F43-H43)</f>
        <v/>
      </c>
      <c r="I44" s="63">
        <f>IF(OR(I43="",$F43=""),"",$F43-I43)</f>
        <v/>
      </c>
      <c r="J44" s="63">
        <f>IF(OR(J43="",$F43=""),"",$F43-J43)</f>
        <v/>
      </c>
      <c r="K44" s="63">
        <f>IF(OR(K43="",$F43=""),"",$F43-K43)</f>
        <v/>
      </c>
      <c r="L44" s="63">
        <f>IF(OR(L43="",$F43=""),"",$F43-L43)</f>
        <v/>
      </c>
      <c r="M44" s="63">
        <f>IF(OR(M43="",$F43=""),"",$F43-M43)</f>
        <v/>
      </c>
      <c r="N44" s="46">
        <f>IF(COUNT(F44:M44)=0,"",INDEX($F$4:$M$4,MATCH(MAX(F44:M44),F44:M44,0)))</f>
        <v/>
      </c>
      <c r="O44" s="46" t="n"/>
    </row>
    <row r="45" ht="24" customHeight="1" s="41">
      <c r="A45" s="47" t="inlineStr">
        <is>
          <t>Investimento inicial</t>
        </is>
      </c>
      <c r="B45" s="46" t="inlineStr">
        <is>
          <t>R$</t>
        </is>
      </c>
      <c r="C45" s="46" t="inlineStr">
        <is>
          <t>Informativo</t>
        </is>
      </c>
      <c r="D45" s="46" t="inlineStr">
        <is>
          <t>Complementar</t>
        </is>
      </c>
      <c r="E45" s="46" t="n"/>
      <c r="F45" s="63">
        <f>Cenários!F5</f>
        <v/>
      </c>
      <c r="G45" s="63">
        <f>Cenários!F6</f>
        <v/>
      </c>
      <c r="H45" s="63">
        <f>Cenários!F7</f>
        <v/>
      </c>
      <c r="I45" s="63">
        <f>Cenários!F8</f>
        <v/>
      </c>
      <c r="J45" s="63">
        <f>Cenários!F9</f>
        <v/>
      </c>
      <c r="K45" s="63">
        <f>Cenários!F10</f>
        <v/>
      </c>
      <c r="L45" s="63">
        <f>Cenários!F11</f>
        <v/>
      </c>
      <c r="M45" s="63">
        <f>Cenários!F12</f>
        <v/>
      </c>
      <c r="N45" s="46" t="n"/>
      <c r="O45" s="46" t="n"/>
    </row>
    <row r="46" ht="24" customHeight="1" s="41">
      <c r="A46" s="47" t="inlineStr">
        <is>
          <t>Retorno do investimento (ROI anual)</t>
        </is>
      </c>
      <c r="B46" s="46" t="inlineStr">
        <is>
          <t>% ao ano</t>
        </is>
      </c>
      <c r="C46" s="46" t="inlineStr">
        <is>
          <t>Maior</t>
        </is>
      </c>
      <c r="D46" s="46" t="inlineStr">
        <is>
          <t>Complementar</t>
        </is>
      </c>
      <c r="E46" s="46" t="n"/>
      <c r="F46" s="75">
        <f>IF(OR(F44="",F45=0),"",F44/F45)</f>
        <v/>
      </c>
      <c r="G46" s="75">
        <f>IF(OR(G44="",G45=0),"",G44/G45)</f>
        <v/>
      </c>
      <c r="H46" s="75">
        <f>IF(OR(H44="",H45=0),"",H44/H45)</f>
        <v/>
      </c>
      <c r="I46" s="75">
        <f>IF(OR(I44="",I45=0),"",I44/I45)</f>
        <v/>
      </c>
      <c r="J46" s="75">
        <f>IF(OR(J44="",J45=0),"",J44/J45)</f>
        <v/>
      </c>
      <c r="K46" s="75">
        <f>IF(OR(K44="",K45=0),"",K44/K45)</f>
        <v/>
      </c>
      <c r="L46" s="75">
        <f>IF(OR(L44="",L45=0),"",L44/L45)</f>
        <v/>
      </c>
      <c r="M46" s="75">
        <f>IF(OR(M44="",M45=0),"",M44/M45)</f>
        <v/>
      </c>
      <c r="N46" s="46">
        <f>IF(COUNT(F46:M46)=0,"",INDEX($F$4:$M$4,MATCH(MAX(F46:M46),F46:M46,0)))</f>
        <v/>
      </c>
      <c r="O46" s="46" t="n"/>
    </row>
    <row r="47" ht="24" customHeight="1" s="41">
      <c r="A47" s="47" t="inlineStr">
        <is>
          <t>Payback</t>
        </is>
      </c>
      <c r="B47" s="46" t="inlineStr">
        <is>
          <t>meses</t>
        </is>
      </c>
      <c r="C47" s="46" t="inlineStr">
        <is>
          <t>Menor</t>
        </is>
      </c>
      <c r="D47" s="46" t="inlineStr">
        <is>
          <t>Complementar</t>
        </is>
      </c>
      <c r="E47" s="46" t="n"/>
      <c r="F47" s="76">
        <f>IF(OR(F44="",F45=0),"",IF(F44&lt;=0,"n/a",F45/F44*12))</f>
        <v/>
      </c>
      <c r="G47" s="76">
        <f>IF(OR(G44="",G45=0),"",IF(G44&lt;=0,"n/a",G45/G44*12))</f>
        <v/>
      </c>
      <c r="H47" s="76">
        <f>IF(OR(H44="",H45=0),"",IF(H44&lt;=0,"n/a",H45/H44*12))</f>
        <v/>
      </c>
      <c r="I47" s="76">
        <f>IF(OR(I44="",I45=0),"",IF(I44&lt;=0,"n/a",I45/I44*12))</f>
        <v/>
      </c>
      <c r="J47" s="76">
        <f>IF(OR(J44="",J45=0),"",IF(J44&lt;=0,"n/a",J45/J44*12))</f>
        <v/>
      </c>
      <c r="K47" s="76">
        <f>IF(OR(K44="",K45=0),"",IF(K44&lt;=0,"n/a",K45/K44*12))</f>
        <v/>
      </c>
      <c r="L47" s="76">
        <f>IF(OR(L44="",L45=0),"",IF(L44&lt;=0,"n/a",L45/L44*12))</f>
        <v/>
      </c>
      <c r="M47" s="76">
        <f>IF(OR(M44="",M45=0),"",IF(M44&lt;=0,"n/a",M45/M44*12))</f>
        <v/>
      </c>
      <c r="N47" s="46">
        <f>IF(COUNT(F47:M47)=0,"",INDEX($F$4:$M$4,MATCH(MIN(F47:M47),F47:M47,0)))</f>
        <v/>
      </c>
      <c r="O47" s="46" t="n"/>
    </row>
    <row r="48"/>
    <row r="49" ht="15" customHeight="1" s="41">
      <c r="A49" s="52" t="inlineStr">
        <is>
          <t>Cálculo auxiliar: desempenho relativo ao cenário base (1,00 = igual ao base; limitado a 2,00)</t>
        </is>
      </c>
    </row>
    <row r="50" ht="15" customHeight="1" s="41">
      <c r="A50" s="77" t="inlineStr">
        <is>
          <t>Tempo médio de separação por pedido</t>
        </is>
      </c>
      <c r="B50" s="46" t="n"/>
      <c r="C50" s="46" t="n"/>
      <c r="D50" s="46" t="n"/>
      <c r="E50" s="46">
        <f>E8</f>
        <v/>
      </c>
      <c r="F50" s="78">
        <f>IF(OR(F8="",$F8=""),0,IF(F8&lt;=0,IF($F8&lt;=0,1,2),MIN(2,$F8/F8)))</f>
        <v/>
      </c>
      <c r="G50" s="78">
        <f>IF(OR(G8="",$F8=""),0,IF(G8&lt;=0,IF($F8&lt;=0,1,2),MIN(2,$F8/G8)))</f>
        <v/>
      </c>
      <c r="H50" s="78">
        <f>IF(OR(H8="",$F8=""),0,IF(H8&lt;=0,IF($F8&lt;=0,1,2),MIN(2,$F8/H8)))</f>
        <v/>
      </c>
      <c r="I50" s="78">
        <f>IF(OR(I8="",$F8=""),0,IF(I8&lt;=0,IF($F8&lt;=0,1,2),MIN(2,$F8/I8)))</f>
        <v/>
      </c>
      <c r="J50" s="78">
        <f>IF(OR(J8="",$F8=""),0,IF(J8&lt;=0,IF($F8&lt;=0,1,2),MIN(2,$F8/J8)))</f>
        <v/>
      </c>
      <c r="K50" s="78">
        <f>IF(OR(K8="",$F8=""),0,IF(K8&lt;=0,IF($F8&lt;=0,1,2),MIN(2,$F8/K8)))</f>
        <v/>
      </c>
      <c r="L50" s="78">
        <f>IF(OR(L8="",$F8=""),0,IF(L8&lt;=0,IF($F8&lt;=0,1,2),MIN(2,$F8/L8)))</f>
        <v/>
      </c>
      <c r="M50" s="78">
        <f>IF(OR(M8="",$F8=""),0,IF(M8&lt;=0,IF($F8&lt;=0,1,2),MIN(2,$F8/M8)))</f>
        <v/>
      </c>
    </row>
    <row r="51" ht="15" customHeight="1" s="41">
      <c r="A51" s="77" t="inlineStr">
        <is>
          <t>Produtividade (pedidos por operador-hora)</t>
        </is>
      </c>
      <c r="B51" s="46" t="n"/>
      <c r="C51" s="46" t="n"/>
      <c r="D51" s="46" t="n"/>
      <c r="E51" s="46">
        <f>E9</f>
        <v/>
      </c>
      <c r="F51" s="78">
        <f>IF(OR(F9="",$F9="",$F9&lt;=0),0,MIN(2,F9/$F9))</f>
        <v/>
      </c>
      <c r="G51" s="78">
        <f>IF(OR(G9="",$F9="",$F9&lt;=0),0,MIN(2,G9/$F9))</f>
        <v/>
      </c>
      <c r="H51" s="78">
        <f>IF(OR(H9="",$F9="",$F9&lt;=0),0,MIN(2,H9/$F9))</f>
        <v/>
      </c>
      <c r="I51" s="78">
        <f>IF(OR(I9="",$F9="",$F9&lt;=0),0,MIN(2,I9/$F9))</f>
        <v/>
      </c>
      <c r="J51" s="78">
        <f>IF(OR(J9="",$F9="",$F9&lt;=0),0,MIN(2,J9/$F9))</f>
        <v/>
      </c>
      <c r="K51" s="78">
        <f>IF(OR(K9="",$F9="",$F9&lt;=0),0,MIN(2,K9/$F9))</f>
        <v/>
      </c>
      <c r="L51" s="78">
        <f>IF(OR(L9="",$F9="",$F9&lt;=0),0,MIN(2,L9/$F9))</f>
        <v/>
      </c>
      <c r="M51" s="78">
        <f>IF(OR(M9="",$F9="",$F9&lt;=0),0,MIN(2,M9/$F9))</f>
        <v/>
      </c>
    </row>
    <row r="52" ht="15" customHeight="1" s="41">
      <c r="A52" s="77" t="inlineStr">
        <is>
          <t>Tempo de ciclo do pedido (do pedido à expedição)</t>
        </is>
      </c>
      <c r="B52" s="46" t="n"/>
      <c r="C52" s="46" t="n"/>
      <c r="D52" s="46" t="n"/>
      <c r="E52" s="46">
        <f>E10</f>
        <v/>
      </c>
      <c r="F52" s="78">
        <f>IF(OR(F10="",$F10=""),0,IF(F10&lt;=0,IF($F10&lt;=0,1,2),MIN(2,$F10/F10)))</f>
        <v/>
      </c>
      <c r="G52" s="78">
        <f>IF(OR(G10="",$F10=""),0,IF(G10&lt;=0,IF($F10&lt;=0,1,2),MIN(2,$F10/G10)))</f>
        <v/>
      </c>
      <c r="H52" s="78">
        <f>IF(OR(H10="",$F10=""),0,IF(H10&lt;=0,IF($F10&lt;=0,1,2),MIN(2,$F10/H10)))</f>
        <v/>
      </c>
      <c r="I52" s="78">
        <f>IF(OR(I10="",$F10=""),0,IF(I10&lt;=0,IF($F10&lt;=0,1,2),MIN(2,$F10/I10)))</f>
        <v/>
      </c>
      <c r="J52" s="78">
        <f>IF(OR(J10="",$F10=""),0,IF(J10&lt;=0,IF($F10&lt;=0,1,2),MIN(2,$F10/J10)))</f>
        <v/>
      </c>
      <c r="K52" s="78">
        <f>IF(OR(K10="",$F10=""),0,IF(K10&lt;=0,IF($F10&lt;=0,1,2),MIN(2,$F10/K10)))</f>
        <v/>
      </c>
      <c r="L52" s="78">
        <f>IF(OR(L10="",$F10=""),0,IF(L10&lt;=0,IF($F10&lt;=0,1,2),MIN(2,$F10/L10)))</f>
        <v/>
      </c>
      <c r="M52" s="78">
        <f>IF(OR(M10="",$F10=""),0,IF(M10&lt;=0,IF($F10&lt;=0,1,2),MIN(2,$F10/M10)))</f>
        <v/>
      </c>
    </row>
    <row r="53" ht="15" customHeight="1" s="41">
      <c r="A53" s="77" t="inlineStr">
        <is>
          <t>Distância percorrida por pedido</t>
        </is>
      </c>
      <c r="B53" s="46" t="n"/>
      <c r="C53" s="46" t="n"/>
      <c r="D53" s="46" t="n"/>
      <c r="E53" s="46">
        <f>E11</f>
        <v/>
      </c>
      <c r="F53" s="78">
        <f>IF(OR(F11="",$F11=""),0,IF(F11&lt;=0,IF($F11&lt;=0,1,2),MIN(2,$F11/F11)))</f>
        <v/>
      </c>
      <c r="G53" s="78">
        <f>IF(OR(G11="",$F11=""),0,IF(G11&lt;=0,IF($F11&lt;=0,1,2),MIN(2,$F11/G11)))</f>
        <v/>
      </c>
      <c r="H53" s="78">
        <f>IF(OR(H11="",$F11=""),0,IF(H11&lt;=0,IF($F11&lt;=0,1,2),MIN(2,$F11/H11)))</f>
        <v/>
      </c>
      <c r="I53" s="78">
        <f>IF(OR(I11="",$F11=""),0,IF(I11&lt;=0,IF($F11&lt;=0,1,2),MIN(2,$F11/I11)))</f>
        <v/>
      </c>
      <c r="J53" s="78">
        <f>IF(OR(J11="",$F11=""),0,IF(J11&lt;=0,IF($F11&lt;=0,1,2),MIN(2,$F11/J11)))</f>
        <v/>
      </c>
      <c r="K53" s="78">
        <f>IF(OR(K11="",$F11=""),0,IF(K11&lt;=0,IF($F11&lt;=0,1,2),MIN(2,$F11/K11)))</f>
        <v/>
      </c>
      <c r="L53" s="78">
        <f>IF(OR(L11="",$F11=""),0,IF(L11&lt;=0,IF($F11&lt;=0,1,2),MIN(2,$F11/L11)))</f>
        <v/>
      </c>
      <c r="M53" s="78">
        <f>IF(OR(M11="",$F11=""),0,IF(M11&lt;=0,IF($F11&lt;=0,1,2),MIN(2,$F11/M11)))</f>
        <v/>
      </c>
    </row>
    <row r="54" ht="15" customHeight="1" s="41">
      <c r="A54" s="77" t="inlineStr">
        <is>
          <t>Tempo gasto procurando itens</t>
        </is>
      </c>
      <c r="B54" s="46" t="n"/>
      <c r="C54" s="46" t="n"/>
      <c r="D54" s="46" t="n"/>
      <c r="E54" s="46">
        <f>E12</f>
        <v/>
      </c>
      <c r="F54" s="78">
        <f>IF(OR(F12="",$F12=""),0,IF(F12&lt;=0,IF($F12&lt;=0,1,2),MIN(2,$F12/F12)))</f>
        <v/>
      </c>
      <c r="G54" s="78">
        <f>IF(OR(G12="",$F12=""),0,IF(G12&lt;=0,IF($F12&lt;=0,1,2),MIN(2,$F12/G12)))</f>
        <v/>
      </c>
      <c r="H54" s="78">
        <f>IF(OR(H12="",$F12=""),0,IF(H12&lt;=0,IF($F12&lt;=0,1,2),MIN(2,$F12/H12)))</f>
        <v/>
      </c>
      <c r="I54" s="78">
        <f>IF(OR(I12="",$F12=""),0,IF(I12&lt;=0,IF($F12&lt;=0,1,2),MIN(2,$F12/I12)))</f>
        <v/>
      </c>
      <c r="J54" s="78">
        <f>IF(OR(J12="",$F12=""),0,IF(J12&lt;=0,IF($F12&lt;=0,1,2),MIN(2,$F12/J12)))</f>
        <v/>
      </c>
      <c r="K54" s="78">
        <f>IF(OR(K12="",$F12=""),0,IF(K12&lt;=0,IF($F12&lt;=0,1,2),MIN(2,$F12/K12)))</f>
        <v/>
      </c>
      <c r="L54" s="78">
        <f>IF(OR(L12="",$F12=""),0,IF(L12&lt;=0,IF($F12&lt;=0,1,2),MIN(2,$F12/L12)))</f>
        <v/>
      </c>
      <c r="M54" s="78">
        <f>IF(OR(M12="",$F12=""),0,IF(M12&lt;=0,IF($F12&lt;=0,1,2),MIN(2,$F12/M12)))</f>
        <v/>
      </c>
    </row>
    <row r="55" ht="15" customHeight="1" s="41">
      <c r="A55" s="77" t="inlineStr">
        <is>
          <t>Tempo de recebimento por lote</t>
        </is>
      </c>
      <c r="B55" s="46" t="n"/>
      <c r="C55" s="46" t="n"/>
      <c r="D55" s="46" t="n"/>
      <c r="E55" s="46">
        <f>E13</f>
        <v/>
      </c>
      <c r="F55" s="78">
        <f>IF(OR(F13="",$F13=""),0,IF(F13&lt;=0,IF($F13&lt;=0,1,2),MIN(2,$F13/F13)))</f>
        <v/>
      </c>
      <c r="G55" s="78">
        <f>IF(OR(G13="",$F13=""),0,IF(G13&lt;=0,IF($F13&lt;=0,1,2),MIN(2,$F13/G13)))</f>
        <v/>
      </c>
      <c r="H55" s="78">
        <f>IF(OR(H13="",$F13=""),0,IF(H13&lt;=0,IF($F13&lt;=0,1,2),MIN(2,$F13/H13)))</f>
        <v/>
      </c>
      <c r="I55" s="78">
        <f>IF(OR(I13="",$F13=""),0,IF(I13&lt;=0,IF($F13&lt;=0,1,2),MIN(2,$F13/I13)))</f>
        <v/>
      </c>
      <c r="J55" s="78">
        <f>IF(OR(J13="",$F13=""),0,IF(J13&lt;=0,IF($F13&lt;=0,1,2),MIN(2,$F13/J13)))</f>
        <v/>
      </c>
      <c r="K55" s="78">
        <f>IF(OR(K13="",$F13=""),0,IF(K13&lt;=0,IF($F13&lt;=0,1,2),MIN(2,$F13/K13)))</f>
        <v/>
      </c>
      <c r="L55" s="78">
        <f>IF(OR(L13="",$F13=""),0,IF(L13&lt;=0,IF($F13&lt;=0,1,2),MIN(2,$F13/L13)))</f>
        <v/>
      </c>
      <c r="M55" s="78">
        <f>IF(OR(M13="",$F13=""),0,IF(M13&lt;=0,IF($F13&lt;=0,1,2),MIN(2,$F13/M13)))</f>
        <v/>
      </c>
    </row>
    <row r="56" ht="15" customHeight="1" s="41">
      <c r="A56" s="77" t="inlineStr">
        <is>
          <t>Tempo de inventário e contagem cíclica</t>
        </is>
      </c>
      <c r="B56" s="46" t="n"/>
      <c r="C56" s="46" t="n"/>
      <c r="D56" s="46" t="n"/>
      <c r="E56" s="46">
        <f>E14</f>
        <v/>
      </c>
      <c r="F56" s="78">
        <f>IF(OR(F14="",$F14=""),0,IF(F14&lt;=0,IF($F14&lt;=0,1,2),MIN(2,$F14/F14)))</f>
        <v/>
      </c>
      <c r="G56" s="78">
        <f>IF(OR(G14="",$F14=""),0,IF(G14&lt;=0,IF($F14&lt;=0,1,2),MIN(2,$F14/G14)))</f>
        <v/>
      </c>
      <c r="H56" s="78">
        <f>IF(OR(H14="",$F14=""),0,IF(H14&lt;=0,IF($F14&lt;=0,1,2),MIN(2,$F14/H14)))</f>
        <v/>
      </c>
      <c r="I56" s="78">
        <f>IF(OR(I14="",$F14=""),0,IF(I14&lt;=0,IF($F14&lt;=0,1,2),MIN(2,$F14/I14)))</f>
        <v/>
      </c>
      <c r="J56" s="78">
        <f>IF(OR(J14="",$F14=""),0,IF(J14&lt;=0,IF($F14&lt;=0,1,2),MIN(2,$F14/J14)))</f>
        <v/>
      </c>
      <c r="K56" s="78">
        <f>IF(OR(K14="",$F14=""),0,IF(K14&lt;=0,IF($F14&lt;=0,1,2),MIN(2,$F14/K14)))</f>
        <v/>
      </c>
      <c r="L56" s="78">
        <f>IF(OR(L14="",$F14=""),0,IF(L14&lt;=0,IF($F14&lt;=0,1,2),MIN(2,$F14/L14)))</f>
        <v/>
      </c>
      <c r="M56" s="78">
        <f>IF(OR(M14="",$F14=""),0,IF(M14&lt;=0,IF($F14&lt;=0,1,2),MIN(2,$F14/M14)))</f>
        <v/>
      </c>
    </row>
    <row r="57" ht="15" customHeight="1" s="41">
      <c r="A57" s="77" t="inlineStr">
        <is>
          <t>Taxa de erro de separação</t>
        </is>
      </c>
      <c r="B57" s="46" t="n"/>
      <c r="C57" s="46" t="n"/>
      <c r="D57" s="46" t="n"/>
      <c r="E57" s="46">
        <f>E15</f>
        <v/>
      </c>
      <c r="F57" s="78">
        <f>IF(OR(F15="",$F15=""),0,IF(F15&lt;=0,IF($F15&lt;=0,1,2),MIN(2,$F15/F15)))</f>
        <v/>
      </c>
      <c r="G57" s="78">
        <f>IF(OR(G15="",$F15=""),0,IF(G15&lt;=0,IF($F15&lt;=0,1,2),MIN(2,$F15/G15)))</f>
        <v/>
      </c>
      <c r="H57" s="78">
        <f>IF(OR(H15="",$F15=""),0,IF(H15&lt;=0,IF($F15&lt;=0,1,2),MIN(2,$F15/H15)))</f>
        <v/>
      </c>
      <c r="I57" s="78">
        <f>IF(OR(I15="",$F15=""),0,IF(I15&lt;=0,IF($F15&lt;=0,1,2),MIN(2,$F15/I15)))</f>
        <v/>
      </c>
      <c r="J57" s="78">
        <f>IF(OR(J15="",$F15=""),0,IF(J15&lt;=0,IF($F15&lt;=0,1,2),MIN(2,$F15/J15)))</f>
        <v/>
      </c>
      <c r="K57" s="78">
        <f>IF(OR(K15="",$F15=""),0,IF(K15&lt;=0,IF($F15&lt;=0,1,2),MIN(2,$F15/K15)))</f>
        <v/>
      </c>
      <c r="L57" s="78">
        <f>IF(OR(L15="",$F15=""),0,IF(L15&lt;=0,IF($F15&lt;=0,1,2),MIN(2,$F15/L15)))</f>
        <v/>
      </c>
      <c r="M57" s="78">
        <f>IF(OR(M15="",$F15=""),0,IF(M15&lt;=0,IF($F15&lt;=0,1,2),MIN(2,$F15/M15)))</f>
        <v/>
      </c>
    </row>
    <row r="58" ht="15" customHeight="1" s="41">
      <c r="A58" s="77" t="inlineStr">
        <is>
          <t>Retrabalho e correções internas</t>
        </is>
      </c>
      <c r="B58" s="46" t="n"/>
      <c r="C58" s="46" t="n"/>
      <c r="D58" s="46" t="n"/>
      <c r="E58" s="46">
        <f>E16</f>
        <v/>
      </c>
      <c r="F58" s="78">
        <f>IF(OR(F16="",$F16=""),0,IF(F16&lt;=0,IF($F16&lt;=0,1,2),MIN(2,$F16/F16)))</f>
        <v/>
      </c>
      <c r="G58" s="78">
        <f>IF(OR(G16="",$F16=""),0,IF(G16&lt;=0,IF($F16&lt;=0,1,2),MIN(2,$F16/G16)))</f>
        <v/>
      </c>
      <c r="H58" s="78">
        <f>IF(OR(H16="",$F16=""),0,IF(H16&lt;=0,IF($F16&lt;=0,1,2),MIN(2,$F16/H16)))</f>
        <v/>
      </c>
      <c r="I58" s="78">
        <f>IF(OR(I16="",$F16=""),0,IF(I16&lt;=0,IF($F16&lt;=0,1,2),MIN(2,$F16/I16)))</f>
        <v/>
      </c>
      <c r="J58" s="78">
        <f>IF(OR(J16="",$F16=""),0,IF(J16&lt;=0,IF($F16&lt;=0,1,2),MIN(2,$F16/J16)))</f>
        <v/>
      </c>
      <c r="K58" s="78">
        <f>IF(OR(K16="",$F16=""),0,IF(K16&lt;=0,IF($F16&lt;=0,1,2),MIN(2,$F16/K16)))</f>
        <v/>
      </c>
      <c r="L58" s="78">
        <f>IF(OR(L16="",$F16=""),0,IF(L16&lt;=0,IF($F16&lt;=0,1,2),MIN(2,$F16/L16)))</f>
        <v/>
      </c>
      <c r="M58" s="78">
        <f>IF(OR(M16="",$F16=""),0,IF(M16&lt;=0,IF($F16&lt;=0,1,2),MIN(2,$F16/M16)))</f>
        <v/>
      </c>
    </row>
    <row r="59" ht="15" customHeight="1" s="41">
      <c r="A59" s="53" t="inlineStr">
        <is>
          <t>Peso efetivo (soma dos pesos com dado preenchido)</t>
        </is>
      </c>
      <c r="F59" s="79">
        <f>SUMPRODUCT($E$50:$E$58*(F50:F58&lt;&gt;0))</f>
        <v/>
      </c>
      <c r="G59" s="79">
        <f>SUMPRODUCT($E$50:$E$58*(G50:G58&lt;&gt;0))</f>
        <v/>
      </c>
      <c r="H59" s="79">
        <f>SUMPRODUCT($E$50:$E$58*(H50:H58&lt;&gt;0))</f>
        <v/>
      </c>
      <c r="I59" s="79">
        <f>SUMPRODUCT($E$50:$E$58*(I50:I58&lt;&gt;0))</f>
        <v/>
      </c>
      <c r="J59" s="79">
        <f>SUMPRODUCT($E$50:$E$58*(J50:J58&lt;&gt;0))</f>
        <v/>
      </c>
      <c r="K59" s="79">
        <f>SUMPRODUCT($E$50:$E$58*(K50:K58&lt;&gt;0))</f>
        <v/>
      </c>
      <c r="L59" s="79">
        <f>SUMPRODUCT($E$50:$E$58*(L50:L58&lt;&gt;0))</f>
        <v/>
      </c>
      <c r="M59" s="79">
        <f>SUMPRODUCT($E$50:$E$58*(M50:M58&lt;&gt;0))</f>
        <v/>
      </c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conditionalFormatting sqref="F8:M8">
    <cfRule type="expression" rank="0" priority="2" equalAverage="0" aboveAverage="0" dxfId="8" text="" percent="0" bottom="0">
      <formula>AND(ISNUMBER(F8),F8=MIN($F8:$M8))</formula>
    </cfRule>
  </conditionalFormatting>
  <conditionalFormatting sqref="F9:M9">
    <cfRule type="expression" rank="0" priority="3" equalAverage="0" aboveAverage="0" dxfId="8" text="" percent="0" bottom="0">
      <formula>AND(ISNUMBER(F9),F9=MAX($F9:$M9))</formula>
    </cfRule>
  </conditionalFormatting>
  <conditionalFormatting sqref="F10:M10">
    <cfRule type="expression" rank="0" priority="4" equalAverage="0" aboveAverage="0" dxfId="8" text="" percent="0" bottom="0">
      <formula>AND(ISNUMBER(F10),F10=MIN($F10:$M10))</formula>
    </cfRule>
  </conditionalFormatting>
  <conditionalFormatting sqref="F11:M11">
    <cfRule type="expression" rank="0" priority="5" equalAverage="0" aboveAverage="0" dxfId="8" text="" percent="0" bottom="0">
      <formula>AND(ISNUMBER(F11),F11=MIN($F11:$M11))</formula>
    </cfRule>
  </conditionalFormatting>
  <conditionalFormatting sqref="F12:M12">
    <cfRule type="expression" rank="0" priority="6" equalAverage="0" aboveAverage="0" dxfId="8" text="" percent="0" bottom="0">
      <formula>AND(ISNUMBER(F12),F12=MIN($F12:$M12))</formula>
    </cfRule>
  </conditionalFormatting>
  <conditionalFormatting sqref="F13:M13">
    <cfRule type="expression" rank="0" priority="7" equalAverage="0" aboveAverage="0" dxfId="8" text="" percent="0" bottom="0">
      <formula>AND(ISNUMBER(F13),F13=MIN($F13:$M13))</formula>
    </cfRule>
  </conditionalFormatting>
  <conditionalFormatting sqref="F14:M14">
    <cfRule type="expression" rank="0" priority="8" equalAverage="0" aboveAverage="0" dxfId="8" text="" percent="0" bottom="0">
      <formula>AND(ISNUMBER(F14),F14=MIN($F14:$M14))</formula>
    </cfRule>
  </conditionalFormatting>
  <conditionalFormatting sqref="F15:M15">
    <cfRule type="expression" rank="0" priority="9" equalAverage="0" aboveAverage="0" dxfId="8" text="" percent="0" bottom="0">
      <formula>AND(ISNUMBER(F15),F15=MIN($F15:$M15))</formula>
    </cfRule>
  </conditionalFormatting>
  <conditionalFormatting sqref="F16:M16">
    <cfRule type="expression" rank="0" priority="10" equalAverage="0" aboveAverage="0" dxfId="8" text="" percent="0" bottom="0">
      <formula>AND(ISNUMBER(F16),F16=MIN($F16:$M16))</formula>
    </cfRule>
  </conditionalFormatting>
  <conditionalFormatting sqref="F19:M19">
    <cfRule type="expression" rank="0" priority="11" equalAverage="0" aboveAverage="0" dxfId="8" text="" percent="0" bottom="0">
      <formula>AND(ISNUMBER(F19),F19=MAX($F19:$M19))</formula>
    </cfRule>
  </conditionalFormatting>
  <conditionalFormatting sqref="F20:M20">
    <cfRule type="expression" rank="0" priority="12" equalAverage="0" aboveAverage="0" dxfId="8" text="" percent="0" bottom="0">
      <formula>AND(ISNUMBER(F20),F20=MAX($F20:$M20))</formula>
    </cfRule>
  </conditionalFormatting>
  <conditionalFormatting sqref="F21:M21">
    <cfRule type="expression" rank="0" priority="13" equalAverage="0" aboveAverage="0" dxfId="8" text="" percent="0" bottom="0">
      <formula>AND(ISNUMBER(F21),F21=MIN($F21:$M21))</formula>
    </cfRule>
  </conditionalFormatting>
  <conditionalFormatting sqref="F22:M22">
    <cfRule type="expression" rank="0" priority="14" equalAverage="0" aboveAverage="0" dxfId="8" text="" percent="0" bottom="0">
      <formula>AND(ISNUMBER(F22),F22=MIN($F22:$M22))</formula>
    </cfRule>
  </conditionalFormatting>
  <conditionalFormatting sqref="F24:M24">
    <cfRule type="expression" rank="0" priority="15" equalAverage="0" aboveAverage="0" dxfId="8" text="" percent="0" bottom="0">
      <formula>AND(ISNUMBER(F24),F24=MIN($F24:$M24))</formula>
    </cfRule>
  </conditionalFormatting>
  <conditionalFormatting sqref="F25:M25">
    <cfRule type="expression" rank="0" priority="16" equalAverage="0" aboveAverage="0" dxfId="8" text="" percent="0" bottom="0">
      <formula>AND(ISNUMBER(F25),F25=MAX($F25:$M25))</formula>
    </cfRule>
  </conditionalFormatting>
  <conditionalFormatting sqref="F26:M26">
    <cfRule type="expression" rank="0" priority="17" equalAverage="0" aboveAverage="0" dxfId="8" text="" percent="0" bottom="0">
      <formula>AND(ISNUMBER(F26),F26=MIN($F26:$M26))</formula>
    </cfRule>
  </conditionalFormatting>
  <conditionalFormatting sqref="F27:M27">
    <cfRule type="expression" rank="0" priority="18" equalAverage="0" aboveAverage="0" dxfId="8" text="" percent="0" bottom="0">
      <formula>AND(ISNUMBER(F27),F27=MIN($F27:$M27))</formula>
    </cfRule>
  </conditionalFormatting>
  <conditionalFormatting sqref="F29:M29">
    <cfRule type="expression" rank="0" priority="19" equalAverage="0" aboveAverage="0" dxfId="8" text="" percent="0" bottom="0">
      <formula>AND(ISNUMBER(F29),F29=MIN($F29:$M29))</formula>
    </cfRule>
  </conditionalFormatting>
  <conditionalFormatting sqref="F30:M30">
    <cfRule type="expression" rank="0" priority="20" equalAverage="0" aboveAverage="0" dxfId="8" text="" percent="0" bottom="0">
      <formula>AND(ISNUMBER(F30),F30=MAX($F30:$M30))</formula>
    </cfRule>
  </conditionalFormatting>
  <conditionalFormatting sqref="F32:M32">
    <cfRule type="expression" rank="0" priority="21" equalAverage="0" aboveAverage="0" dxfId="8" text="" percent="0" bottom="0">
      <formula>AND(ISNUMBER(F32),F32=MIN($F32:$M32))</formula>
    </cfRule>
  </conditionalFormatting>
  <conditionalFormatting sqref="F33:M33">
    <cfRule type="expression" rank="0" priority="22" equalAverage="0" aboveAverage="0" dxfId="8" text="" percent="0" bottom="0">
      <formula>AND(ISNUMBER(F33),F33=MIN($F33:$M33))</formula>
    </cfRule>
  </conditionalFormatting>
  <conditionalFormatting sqref="F34:M34">
    <cfRule type="expression" rank="0" priority="23" equalAverage="0" aboveAverage="0" dxfId="8" text="" percent="0" bottom="0">
      <formula>AND(ISNUMBER(F34),F34=MIN($F34:$M34))</formula>
    </cfRule>
  </conditionalFormatting>
  <conditionalFormatting sqref="F37:M37">
    <cfRule type="expression" rank="0" priority="24" equalAverage="0" aboveAverage="0" dxfId="8" text="" percent="0" bottom="0">
      <formula>AND(ISNUMBER(F37),F37=MIN($F37:$M37))</formula>
    </cfRule>
  </conditionalFormatting>
  <conditionalFormatting sqref="F38:M38">
    <cfRule type="expression" rank="0" priority="25" equalAverage="0" aboveAverage="0" dxfId="8" text="" percent="0" bottom="0">
      <formula>AND(ISNUMBER(F38),F38=MAX($F38:$M38))</formula>
    </cfRule>
  </conditionalFormatting>
  <conditionalFormatting sqref="F39:M39">
    <cfRule type="expression" rank="0" priority="26" equalAverage="0" aboveAverage="0" dxfId="8" text="" percent="0" bottom="0">
      <formula>AND(ISNUMBER(F39),F39=MIN($F39:$M39))</formula>
    </cfRule>
  </conditionalFormatting>
  <conditionalFormatting sqref="F41:M41">
    <cfRule type="expression" rank="0" priority="27" equalAverage="0" aboveAverage="0" dxfId="8" text="" percent="0" bottom="0">
      <formula>AND(ISNUMBER(F41),F41=MIN($F41:$M41))</formula>
    </cfRule>
  </conditionalFormatting>
  <conditionalFormatting sqref="F43:M43">
    <cfRule type="expression" rank="0" priority="28" equalAverage="0" aboveAverage="0" dxfId="8" text="" percent="0" bottom="0">
      <formula>AND(ISNUMBER(F43),F43=MIN($F43:$M43))</formula>
    </cfRule>
  </conditionalFormatting>
  <conditionalFormatting sqref="F44:M44">
    <cfRule type="expression" rank="0" priority="29" equalAverage="0" aboveAverage="0" dxfId="8" text="" percent="0" bottom="0">
      <formula>AND(ISNUMBER(F44),F44=MAX($F44:$M44))</formula>
    </cfRule>
  </conditionalFormatting>
  <conditionalFormatting sqref="F46:M46">
    <cfRule type="expression" rank="0" priority="30" equalAverage="0" aboveAverage="0" dxfId="8" text="" percent="0" bottom="0">
      <formula>AND(ISNUMBER(F46),F46=MAX($F46:$M46))</formula>
    </cfRule>
  </conditionalFormatting>
  <conditionalFormatting sqref="F47:M47">
    <cfRule type="expression" rank="0" priority="31" equalAverage="0" aboveAverage="0" dxfId="8" text="" percent="0" bottom="0">
      <formula>AND(ISNUMBER(F47),F47=MIN($F47:$M47))</formula>
    </cfRule>
  </conditionalFormatting>
  <conditionalFormatting sqref="F5:M5">
    <cfRule type="expression" rank="0" priority="32" equalAverage="0" aboveAverage="0" dxfId="8" text="" percent="0" bottom="0">
      <formula>AND(ISNUMBER(F5),F5=MAX($F5:$M5))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40" min="1" max="1"/>
    <col width="42" customWidth="1" style="40" min="2" max="2"/>
    <col width="56" customWidth="1" style="40" min="3" max="3"/>
    <col width="18" customWidth="1" style="40" min="4" max="4"/>
    <col width="14" customWidth="1" style="40" min="5" max="6"/>
    <col width="48" customWidth="1" style="40" min="7" max="7"/>
    <col width="22" customWidth="1" style="40" min="8" max="8"/>
    <col width="16" customWidth="1" style="40" min="9" max="9"/>
  </cols>
  <sheetData>
    <row r="1" ht="17.35" customHeight="1" s="41">
      <c r="A1" s="42" t="inlineStr">
        <is>
          <t>Dicionário de indicadores (foco em eficiência, com todos os dados possíveis)</t>
        </is>
      </c>
    </row>
    <row r="3" ht="31.5" customHeight="1" s="41">
      <c r="A3" s="45" t="inlineStr">
        <is>
          <t>Grupo</t>
        </is>
      </c>
      <c r="B3" s="45" t="inlineStr">
        <is>
          <t>Indicador</t>
        </is>
      </c>
      <c r="C3" s="45" t="inlineStr">
        <is>
          <t>Definição</t>
        </is>
      </c>
      <c r="D3" s="45" t="inlineStr">
        <is>
          <t>Unidade</t>
        </is>
      </c>
      <c r="E3" s="45" t="inlineStr">
        <is>
          <t>Melhor quando</t>
        </is>
      </c>
      <c r="F3" s="45" t="inlineStr">
        <is>
          <t>Prioridade</t>
        </is>
      </c>
      <c r="G3" s="45" t="inlineStr">
        <is>
          <t>Como medir na simulação</t>
        </is>
      </c>
      <c r="H3" s="45" t="inlineStr">
        <is>
          <t>Módulo que mais influencia</t>
        </is>
      </c>
      <c r="I3" s="45" t="inlineStr">
        <is>
          <t>Exemplo de valor</t>
        </is>
      </c>
    </row>
    <row r="4" ht="31.5" customHeight="1" s="41">
      <c r="A4" s="49" t="inlineStr">
        <is>
          <t>1. Eficiência operacional (principal)</t>
        </is>
      </c>
      <c r="B4" s="47" t="inlineStr">
        <is>
          <t>Tempo médio de separação por pedido</t>
        </is>
      </c>
      <c r="C4" s="48" t="inlineStr">
        <is>
          <t>Tempo do início ao fim da separação de um pedido.</t>
        </is>
      </c>
      <c r="D4" s="48" t="inlineStr">
        <is>
          <t>min</t>
        </is>
      </c>
      <c r="E4" s="48" t="inlineStr">
        <is>
          <t>Menor</t>
        </is>
      </c>
      <c r="F4" s="48" t="inlineStr">
        <is>
          <t>Principal</t>
        </is>
      </c>
      <c r="G4" s="48" t="inlineStr">
        <is>
          <t>Média dos tempos dos operadores no motor de eventos.</t>
        </is>
      </c>
      <c r="H4" s="48" t="inlineStr">
        <is>
          <t>RFID, Visão</t>
        </is>
      </c>
      <c r="I4" s="80" t="n">
        <v>6.5</v>
      </c>
    </row>
    <row r="5" ht="31.5" customHeight="1" s="41">
      <c r="A5" s="49" t="inlineStr">
        <is>
          <t>1. Eficiência operacional (principal)</t>
        </is>
      </c>
      <c r="B5" s="47" t="inlineStr">
        <is>
          <t>Produtividade (pedidos por operador-hora)</t>
        </is>
      </c>
      <c r="C5" s="48" t="inlineStr">
        <is>
          <t>Pedidos concluídos divididos pelas horas de trabalho dos operadores.</t>
        </is>
      </c>
      <c r="D5" s="48" t="inlineStr">
        <is>
          <t>pedidos/h</t>
        </is>
      </c>
      <c r="E5" s="48" t="inlineStr">
        <is>
          <t>Maior</t>
        </is>
      </c>
      <c r="F5" s="48" t="inlineStr">
        <is>
          <t>Principal</t>
        </is>
      </c>
      <c r="G5" s="48" t="inlineStr">
        <is>
          <t>Pedidos concluídos / horas de operador.</t>
        </is>
      </c>
      <c r="H5" s="48" t="inlineStr">
        <is>
          <t>RFID, Visão</t>
        </is>
      </c>
      <c r="I5" s="80" t="n">
        <v>12</v>
      </c>
    </row>
    <row r="6" ht="31.5" customHeight="1" s="41">
      <c r="A6" s="49" t="inlineStr">
        <is>
          <t>1. Eficiência operacional (principal)</t>
        </is>
      </c>
      <c r="B6" s="47" t="inlineStr">
        <is>
          <t>Tempo de ciclo do pedido (do pedido à expedição)</t>
        </is>
      </c>
      <c r="C6" s="48" t="inlineStr">
        <is>
          <t>Tempo total desde a chegada do pedido até a expedição.</t>
        </is>
      </c>
      <c r="D6" s="48" t="inlineStr">
        <is>
          <t>h</t>
        </is>
      </c>
      <c r="E6" s="48" t="inlineStr">
        <is>
          <t>Menor</t>
        </is>
      </c>
      <c r="F6" s="48" t="inlineStr">
        <is>
          <t>Principal</t>
        </is>
      </c>
      <c r="G6" s="48" t="inlineStr">
        <is>
          <t>Carimbos de tempo no registro de eventos.</t>
        </is>
      </c>
      <c r="H6" s="48" t="inlineStr">
        <is>
          <t>RFID, Visão</t>
        </is>
      </c>
      <c r="I6" s="80" t="n">
        <v>4.2</v>
      </c>
    </row>
    <row r="7" ht="31.5" customHeight="1" s="41">
      <c r="A7" s="49" t="inlineStr">
        <is>
          <t>1. Eficiência operacional (principal)</t>
        </is>
      </c>
      <c r="B7" s="47" t="inlineStr">
        <is>
          <t>Distância percorrida por pedido</t>
        </is>
      </c>
      <c r="C7" s="48" t="inlineStr">
        <is>
          <t>Caminho médio percorrido pelo operador para separar um pedido.</t>
        </is>
      </c>
      <c r="D7" s="48" t="inlineStr">
        <is>
          <t>m</t>
        </is>
      </c>
      <c r="E7" s="48" t="inlineStr">
        <is>
          <t>Menor</t>
        </is>
      </c>
      <c r="F7" s="48" t="inlineStr">
        <is>
          <t>Principal</t>
        </is>
      </c>
      <c r="G7" s="48" t="inlineStr">
        <is>
          <t>Soma das distâncias no layout (passo 2).</t>
        </is>
      </c>
      <c r="H7" s="48" t="inlineStr">
        <is>
          <t>RFID</t>
        </is>
      </c>
      <c r="I7" s="80" t="n">
        <v>85</v>
      </c>
    </row>
    <row r="8" ht="31.5" customHeight="1" s="41">
      <c r="A8" s="49" t="inlineStr">
        <is>
          <t>1. Eficiência operacional (principal)</t>
        </is>
      </c>
      <c r="B8" s="47" t="inlineStr">
        <is>
          <t>Tempo gasto procurando itens</t>
        </is>
      </c>
      <c r="C8" s="48" t="inlineStr">
        <is>
          <t>Tempo diário por operador gasto localizando itens.</t>
        </is>
      </c>
      <c r="D8" s="48" t="inlineStr">
        <is>
          <t>min/dia</t>
        </is>
      </c>
      <c r="E8" s="48" t="inlineStr">
        <is>
          <t>Menor</t>
        </is>
      </c>
      <c r="F8" s="48" t="inlineStr">
        <is>
          <t>Principal</t>
        </is>
      </c>
      <c r="G8" s="48" t="inlineStr">
        <is>
          <t>Tempo de busca nos eventos de separação.</t>
        </is>
      </c>
      <c r="H8" s="48" t="inlineStr">
        <is>
          <t>RFID</t>
        </is>
      </c>
      <c r="I8" s="80" t="n">
        <v>35</v>
      </c>
    </row>
    <row r="9" ht="31.5" customHeight="1" s="41">
      <c r="A9" s="49" t="inlineStr">
        <is>
          <t>1. Eficiência operacional (principal)</t>
        </is>
      </c>
      <c r="B9" s="47" t="inlineStr">
        <is>
          <t>Tempo de recebimento por lote</t>
        </is>
      </c>
      <c r="C9" s="48" t="inlineStr">
        <is>
          <t>Tempo para conferir e guardar um lote recebido.</t>
        </is>
      </c>
      <c r="D9" s="48" t="inlineStr">
        <is>
          <t>min</t>
        </is>
      </c>
      <c r="E9" s="48" t="inlineStr">
        <is>
          <t>Menor</t>
        </is>
      </c>
      <c r="F9" s="48" t="inlineStr">
        <is>
          <t>Principal</t>
        </is>
      </c>
      <c r="G9" s="48" t="inlineStr">
        <is>
          <t>Duração do evento de recebimento.</t>
        </is>
      </c>
      <c r="H9" s="48" t="inlineStr">
        <is>
          <t>RFID</t>
        </is>
      </c>
      <c r="I9" s="80" t="n">
        <v>15</v>
      </c>
    </row>
    <row r="10" ht="31.5" customHeight="1" s="41">
      <c r="A10" s="49" t="inlineStr">
        <is>
          <t>1. Eficiência operacional (principal)</t>
        </is>
      </c>
      <c r="B10" s="47" t="inlineStr">
        <is>
          <t>Tempo de inventário e contagem cíclica</t>
        </is>
      </c>
      <c r="C10" s="48" t="inlineStr">
        <is>
          <t>Horas por mês dedicadas a contar estoque.</t>
        </is>
      </c>
      <c r="D10" s="48" t="inlineStr">
        <is>
          <t>h/mês</t>
        </is>
      </c>
      <c r="E10" s="48" t="inlineStr">
        <is>
          <t>Menor</t>
        </is>
      </c>
      <c r="F10" s="48" t="inlineStr">
        <is>
          <t>Principal</t>
        </is>
      </c>
      <c r="G10" s="48" t="inlineStr">
        <is>
          <t>Duração dos eventos de contagem.</t>
        </is>
      </c>
      <c r="H10" s="48" t="inlineStr">
        <is>
          <t>RFID, Visão</t>
        </is>
      </c>
      <c r="I10" s="80" t="n">
        <v>20</v>
      </c>
    </row>
    <row r="11" ht="31.5" customHeight="1" s="41">
      <c r="A11" s="49" t="inlineStr">
        <is>
          <t>1. Eficiência operacional (principal)</t>
        </is>
      </c>
      <c r="B11" s="47" t="inlineStr">
        <is>
          <t>Taxa de erro de separação</t>
        </is>
      </c>
      <c r="C11" s="48" t="inlineStr">
        <is>
          <t>Pedidos separados com item ou quantidade errada.</t>
        </is>
      </c>
      <c r="D11" s="48" t="inlineStr">
        <is>
          <t>% dos pedidos</t>
        </is>
      </c>
      <c r="E11" s="48" t="inlineStr">
        <is>
          <t>Menor</t>
        </is>
      </c>
      <c r="F11" s="48" t="inlineStr">
        <is>
          <t>Principal</t>
        </is>
      </c>
      <c r="G11" s="48" t="inlineStr">
        <is>
          <t>Pedidos com erro / pedidos separados.</t>
        </is>
      </c>
      <c r="H11" s="48" t="inlineStr">
        <is>
          <t>Visão</t>
        </is>
      </c>
      <c r="I11" s="75" t="n">
        <v>0.005</v>
      </c>
    </row>
    <row r="12" ht="31.5" customHeight="1" s="41">
      <c r="A12" s="49" t="inlineStr">
        <is>
          <t>1. Eficiência operacional (principal)</t>
        </is>
      </c>
      <c r="B12" s="47" t="inlineStr">
        <is>
          <t>Retrabalho e correções internas</t>
        </is>
      </c>
      <c r="C12" s="48" t="inlineStr">
        <is>
          <t>Pedidos que precisaram ser refeitos ou corrigidos.</t>
        </is>
      </c>
      <c r="D12" s="48" t="inlineStr">
        <is>
          <t>% dos pedidos</t>
        </is>
      </c>
      <c r="E12" s="48" t="inlineStr">
        <is>
          <t>Menor</t>
        </is>
      </c>
      <c r="F12" s="48" t="inlineStr">
        <is>
          <t>Principal</t>
        </is>
      </c>
      <c r="G12" s="48" t="inlineStr">
        <is>
          <t>Pedidos refeitos / pedidos separados.</t>
        </is>
      </c>
      <c r="H12" s="48" t="inlineStr">
        <is>
          <t>Visão, RFID</t>
        </is>
      </c>
      <c r="I12" s="75" t="n">
        <v>0.01</v>
      </c>
    </row>
    <row r="13" ht="31.5" customHeight="1" s="41">
      <c r="A13" s="49" t="inlineStr">
        <is>
          <t>1. Eficiência operacional (principal)</t>
        </is>
      </c>
      <c r="B13" s="47" t="inlineStr">
        <is>
          <t>Utilização dos operadores</t>
        </is>
      </c>
      <c r="C13" s="48" t="inlineStr">
        <is>
          <t>Parcela do tempo em que os operadores estão ocupados (muito alta indica gargalo, muito baixa indica ociosidade).</t>
        </is>
      </c>
      <c r="D13" s="48" t="inlineStr">
        <is>
          <t>% do tempo</t>
        </is>
      </c>
      <c r="E13" s="48" t="inlineStr">
        <is>
          <t>Informativo</t>
        </is>
      </c>
      <c r="F13" s="48" t="inlineStr">
        <is>
          <t>Principal</t>
        </is>
      </c>
      <c r="G13" s="48" t="inlineStr">
        <is>
          <t>Horas ocupadas / horas disponíveis.</t>
        </is>
      </c>
      <c r="H13" s="48" t="inlineStr">
        <is>
          <t>Todos</t>
        </is>
      </c>
      <c r="I13" s="75" t="n">
        <v>0.72</v>
      </c>
    </row>
    <row r="14" ht="31.5" customHeight="1" s="41">
      <c r="A14" s="48" t="inlineStr">
        <is>
          <t>2. Nível de serviço</t>
        </is>
      </c>
      <c r="B14" s="47" t="inlineStr">
        <is>
          <t>Nível de serviço (fill rate)</t>
        </is>
      </c>
      <c r="C14" s="48" t="inlineStr">
        <is>
          <t>Parcela da demanda atendida sem falta.</t>
        </is>
      </c>
      <c r="D14" s="48" t="inlineStr">
        <is>
          <t>% da demanda</t>
        </is>
      </c>
      <c r="E14" s="48" t="inlineStr">
        <is>
          <t>Maior</t>
        </is>
      </c>
      <c r="F14" s="48" t="inlineStr">
        <is>
          <t>Complementar</t>
        </is>
      </c>
      <c r="G14" s="48" t="inlineStr">
        <is>
          <t>Vendido total / demanda total.</t>
        </is>
      </c>
      <c r="H14" s="48" t="inlineStr">
        <is>
          <t>SmartStock</t>
        </is>
      </c>
      <c r="I14" s="75" t="n">
        <v>0.985</v>
      </c>
    </row>
    <row r="15" ht="31.5" customHeight="1" s="41">
      <c r="A15" s="48" t="inlineStr">
        <is>
          <t>2. Nível de serviço</t>
        </is>
      </c>
      <c r="B15" s="47" t="inlineStr">
        <is>
          <t>Pedidos completos e no prazo (OTIF)</t>
        </is>
      </c>
      <c r="C15" s="48" t="inlineStr">
        <is>
          <t>Parcela dos pedidos atendidos completos e dentro do prazo.</t>
        </is>
      </c>
      <c r="D15" s="48" t="inlineStr">
        <is>
          <t>% dos pedidos</t>
        </is>
      </c>
      <c r="E15" s="48" t="inlineStr">
        <is>
          <t>Maior</t>
        </is>
      </c>
      <c r="F15" s="48" t="inlineStr">
        <is>
          <t>Complementar</t>
        </is>
      </c>
      <c r="G15" s="48" t="inlineStr">
        <is>
          <t>Pedidos completos no prazo / total de pedidos.</t>
        </is>
      </c>
      <c r="H15" s="48" t="inlineStr">
        <is>
          <t>SmartStock, RFID</t>
        </is>
      </c>
      <c r="I15" s="75" t="n">
        <v>0.95</v>
      </c>
    </row>
    <row r="16" ht="31.5" customHeight="1" s="41">
      <c r="A16" s="48" t="inlineStr">
        <is>
          <t>2. Nível de serviço</t>
        </is>
      </c>
      <c r="B16" s="47" t="inlineStr">
        <is>
          <t>Dias de ruptura</t>
        </is>
      </c>
      <c r="C16" s="48" t="inlineStr">
        <is>
          <t>Dias em que algum pedido não foi totalmente atendido.</t>
        </is>
      </c>
      <c r="D16" s="48" t="inlineStr">
        <is>
          <t>dias</t>
        </is>
      </c>
      <c r="E16" s="48" t="inlineStr">
        <is>
          <t>Menor</t>
        </is>
      </c>
      <c r="F16" s="48" t="inlineStr">
        <is>
          <t>Complementar</t>
        </is>
      </c>
      <c r="G16" s="48" t="inlineStr">
        <is>
          <t>Contar dias com demanda não atendida, por item.</t>
        </is>
      </c>
      <c r="H16" s="48" t="inlineStr">
        <is>
          <t>SmartStock</t>
        </is>
      </c>
      <c r="I16" s="80" t="n">
        <v>40</v>
      </c>
    </row>
    <row r="17" ht="31.5" customHeight="1" s="41">
      <c r="A17" s="48" t="inlineStr">
        <is>
          <t>2. Nível de serviço</t>
        </is>
      </c>
      <c r="B17" s="47" t="inlineStr">
        <is>
          <t>Itens com ruptura</t>
        </is>
      </c>
      <c r="C17" s="48" t="inlineStr">
        <is>
          <t>Parcela dos itens que tiveram ao menos uma ruptura.</t>
        </is>
      </c>
      <c r="D17" s="48" t="inlineStr">
        <is>
          <t>% dos itens</t>
        </is>
      </c>
      <c r="E17" s="48" t="inlineStr">
        <is>
          <t>Menor</t>
        </is>
      </c>
      <c r="F17" s="48" t="inlineStr">
        <is>
          <t>Complementar</t>
        </is>
      </c>
      <c r="G17" s="48" t="inlineStr">
        <is>
          <t>Itens com ruptura / total de itens.</t>
        </is>
      </c>
      <c r="H17" s="48" t="inlineStr">
        <is>
          <t>SmartStock</t>
        </is>
      </c>
      <c r="I17" s="75" t="n">
        <v>0.3</v>
      </c>
    </row>
    <row r="18" ht="31.5" customHeight="1" s="41">
      <c r="A18" s="48" t="inlineStr">
        <is>
          <t>3. Acurácia do inventário</t>
        </is>
      </c>
      <c r="B18" s="47" t="inlineStr">
        <is>
          <t>Divergência de inventário</t>
        </is>
      </c>
      <c r="C18" s="48" t="inlineStr">
        <is>
          <t>Diferença entre o estoque do sistema e o físico.</t>
        </is>
      </c>
      <c r="D18" s="48" t="inlineStr">
        <is>
          <t>% dos itens</t>
        </is>
      </c>
      <c r="E18" s="48" t="inlineStr">
        <is>
          <t>Menor</t>
        </is>
      </c>
      <c r="F18" s="48" t="inlineStr">
        <is>
          <t>Complementar</t>
        </is>
      </c>
      <c r="G18" s="48" t="inlineStr">
        <is>
          <t>Comparar as duas contagens (passo 4).</t>
        </is>
      </c>
      <c r="H18" s="48" t="inlineStr">
        <is>
          <t>RFID, Visão</t>
        </is>
      </c>
      <c r="I18" s="75" t="n">
        <v>0.012</v>
      </c>
    </row>
    <row r="19" ht="31.5" customHeight="1" s="41">
      <c r="A19" s="48" t="inlineStr">
        <is>
          <t>3. Acurácia do inventário</t>
        </is>
      </c>
      <c r="B19" s="47" t="inlineStr">
        <is>
          <t>Acurácia de localização</t>
        </is>
      </c>
      <c r="C19" s="48" t="inlineStr">
        <is>
          <t>Itens encontrados no endereço indicado pelo sistema.</t>
        </is>
      </c>
      <c r="D19" s="48" t="inlineStr">
        <is>
          <t>% dos itens</t>
        </is>
      </c>
      <c r="E19" s="48" t="inlineStr">
        <is>
          <t>Maior</t>
        </is>
      </c>
      <c r="F19" s="48" t="inlineStr">
        <is>
          <t>Complementar</t>
        </is>
      </c>
      <c r="G19" s="48" t="inlineStr">
        <is>
          <t>Itens no endereço correto / itens verificados.</t>
        </is>
      </c>
      <c r="H19" s="48" t="inlineStr">
        <is>
          <t>RFID</t>
        </is>
      </c>
      <c r="I19" s="75" t="n">
        <v>0.99</v>
      </c>
    </row>
    <row r="20" ht="31.5" customHeight="1" s="41">
      <c r="A20" s="48" t="inlineStr">
        <is>
          <t>3. Acurácia do inventário</t>
        </is>
      </c>
      <c r="B20" s="47" t="inlineStr">
        <is>
          <t>Estoque fantasma</t>
        </is>
      </c>
      <c r="C20" s="48" t="inlineStr">
        <is>
          <t>Valor que o sistema diz ter, mas que não existe na prateleira.</t>
        </is>
      </c>
      <c r="D20" s="48" t="inlineStr">
        <is>
          <t>R$</t>
        </is>
      </c>
      <c r="E20" s="48" t="inlineStr">
        <is>
          <t>Menor</t>
        </is>
      </c>
      <c r="F20" s="48" t="inlineStr">
        <is>
          <t>Complementar</t>
        </is>
      </c>
      <c r="G20" s="48" t="inlineStr">
        <is>
          <t>Soma de (sistema - físico) x custo unitário, quando positivo.</t>
        </is>
      </c>
      <c r="H20" s="48" t="inlineStr">
        <is>
          <t>RFID, Visão</t>
        </is>
      </c>
      <c r="I20" s="63" t="n">
        <v>15000</v>
      </c>
    </row>
    <row r="21" ht="31.5" customHeight="1" s="41">
      <c r="A21" s="48" t="inlineStr">
        <is>
          <t>3. Acurácia do inventário</t>
        </is>
      </c>
      <c r="B21" s="47" t="inlineStr">
        <is>
          <t>Perdas, avarias e extravios</t>
        </is>
      </c>
      <c r="C21" s="48" t="inlineStr">
        <is>
          <t>Valor perdido por itens extraviados ou danificados.</t>
        </is>
      </c>
      <c r="D21" s="48" t="inlineStr">
        <is>
          <t>R$/ano</t>
        </is>
      </c>
      <c r="E21" s="48" t="inlineStr">
        <is>
          <t>Menor</t>
        </is>
      </c>
      <c r="F21" s="48" t="inlineStr">
        <is>
          <t>Complementar</t>
        </is>
      </c>
      <c r="G21" s="48" t="inlineStr">
        <is>
          <t>Perdas sorteadas no motor x custo unitário.</t>
        </is>
      </c>
      <c r="H21" s="48" t="inlineStr">
        <is>
          <t>RFID, Visão</t>
        </is>
      </c>
      <c r="I21" s="63" t="n">
        <v>8000</v>
      </c>
    </row>
    <row r="22" ht="31.5" customHeight="1" s="41">
      <c r="A22" s="48" t="inlineStr">
        <is>
          <t>4. Estoque e reposição</t>
        </is>
      </c>
      <c r="B22" s="47" t="inlineStr">
        <is>
          <t>Estoque médio</t>
        </is>
      </c>
      <c r="C22" s="48" t="inlineStr">
        <is>
          <t>Valor médio em estoque no período.</t>
        </is>
      </c>
      <c r="D22" s="48" t="inlineStr">
        <is>
          <t>R$</t>
        </is>
      </c>
      <c r="E22" s="48" t="inlineStr">
        <is>
          <t>Menor</t>
        </is>
      </c>
      <c r="F22" s="48" t="inlineStr">
        <is>
          <t>Complementar</t>
        </is>
      </c>
      <c r="G22" s="48" t="inlineStr">
        <is>
          <t>Média diária de estoque x custo unitário.</t>
        </is>
      </c>
      <c r="H22" s="48" t="inlineStr">
        <is>
          <t>SmartStock</t>
        </is>
      </c>
      <c r="I22" s="63" t="n">
        <v>240000</v>
      </c>
    </row>
    <row r="23" ht="31.5" customHeight="1" s="41">
      <c r="A23" s="48" t="inlineStr">
        <is>
          <t>4. Estoque e reposição</t>
        </is>
      </c>
      <c r="B23" s="47" t="inlineStr">
        <is>
          <t>Giro anual</t>
        </is>
      </c>
      <c r="C23" s="48" t="inlineStr">
        <is>
          <t>Vendas a custo divididas pelo estoque médio, ao ano.</t>
        </is>
      </c>
      <c r="D23" s="48" t="inlineStr">
        <is>
          <t>vezes/ano</t>
        </is>
      </c>
      <c r="E23" s="48" t="inlineStr">
        <is>
          <t>Maior</t>
        </is>
      </c>
      <c r="F23" s="48" t="inlineStr">
        <is>
          <t>Complementar</t>
        </is>
      </c>
      <c r="G23" s="48" t="inlineStr">
        <is>
          <t>Vendas a custo / estoque médio x (365 / dias).</t>
        </is>
      </c>
      <c r="H23" s="48" t="inlineStr">
        <is>
          <t>SmartStock</t>
        </is>
      </c>
      <c r="I23" s="80" t="n">
        <v>18</v>
      </c>
    </row>
    <row r="24" ht="31.5" customHeight="1" s="41">
      <c r="A24" s="48" t="inlineStr">
        <is>
          <t>4. Estoque e reposição</t>
        </is>
      </c>
      <c r="B24" s="47" t="inlineStr">
        <is>
          <t>Cobertura média de estoque</t>
        </is>
      </c>
      <c r="C24" s="48" t="inlineStr">
        <is>
          <t>Dias de demanda que o estoque atual cobre.</t>
        </is>
      </c>
      <c r="D24" s="48" t="inlineStr">
        <is>
          <t>dias</t>
        </is>
      </c>
      <c r="E24" s="48" t="inlineStr">
        <is>
          <t>Informativo</t>
        </is>
      </c>
      <c r="F24" s="48" t="inlineStr">
        <is>
          <t>Complementar</t>
        </is>
      </c>
      <c r="G24" s="48" t="inlineStr">
        <is>
          <t>Estoque médio / demanda média diária.</t>
        </is>
      </c>
      <c r="H24" s="48" t="inlineStr">
        <is>
          <t>SmartStock</t>
        </is>
      </c>
      <c r="I24" s="80" t="n">
        <v>21</v>
      </c>
    </row>
    <row r="25" ht="31.5" customHeight="1" s="41">
      <c r="A25" s="48" t="inlineStr">
        <is>
          <t>4. Estoque e reposição</t>
        </is>
      </c>
      <c r="B25" s="47" t="inlineStr">
        <is>
          <t>Pedidos de compra emitidos</t>
        </is>
      </c>
      <c r="C25" s="48" t="inlineStr">
        <is>
          <t>Número de pedidos ao fornecedor no período.</t>
        </is>
      </c>
      <c r="D25" s="48" t="inlineStr">
        <is>
          <t>pedidos/ano</t>
        </is>
      </c>
      <c r="E25" s="48" t="inlineStr">
        <is>
          <t>Menor</t>
        </is>
      </c>
      <c r="F25" s="48" t="inlineStr">
        <is>
          <t>Complementar</t>
        </is>
      </c>
      <c r="G25" s="48" t="inlineStr">
        <is>
          <t>Contar pedidos emitidos.</t>
        </is>
      </c>
      <c r="H25" s="48" t="inlineStr">
        <is>
          <t>SmartStock</t>
        </is>
      </c>
      <c r="I25" s="80" t="n">
        <v>900</v>
      </c>
    </row>
    <row r="26" ht="31.5" customHeight="1" s="41">
      <c r="A26" s="48" t="inlineStr">
        <is>
          <t>4. Estoque e reposição</t>
        </is>
      </c>
      <c r="B26" s="47" t="inlineStr">
        <is>
          <t>Compras emergenciais</t>
        </is>
      </c>
      <c r="C26" s="48" t="inlineStr">
        <is>
          <t>Pedidos urgentes feitos por risco de ruptura.</t>
        </is>
      </c>
      <c r="D26" s="48" t="inlineStr">
        <is>
          <t>pedidos/ano</t>
        </is>
      </c>
      <c r="E26" s="48" t="inlineStr">
        <is>
          <t>Menor</t>
        </is>
      </c>
      <c r="F26" s="48" t="inlineStr">
        <is>
          <t>Complementar</t>
        </is>
      </c>
      <c r="G26" s="48" t="inlineStr">
        <is>
          <t>Pedidos feitos com cobertura abaixo de um limite.</t>
        </is>
      </c>
      <c r="H26" s="48" t="inlineStr">
        <is>
          <t>SmartStock</t>
        </is>
      </c>
      <c r="I26" s="80" t="n">
        <v>40</v>
      </c>
    </row>
    <row r="27" ht="31.5" customHeight="1" s="41">
      <c r="A27" s="48" t="inlineStr">
        <is>
          <t>4. Estoque e reposição</t>
        </is>
      </c>
      <c r="B27" s="47" t="inlineStr">
        <is>
          <t>Itens parados (sem saída há 90 dias)</t>
        </is>
      </c>
      <c r="C27" s="48" t="inlineStr">
        <is>
          <t>Parcela dos itens sem nenhuma movimentação nos últimos 90 dias.</t>
        </is>
      </c>
      <c r="D27" s="48" t="inlineStr">
        <is>
          <t>% dos itens</t>
        </is>
      </c>
      <c r="E27" s="48" t="inlineStr">
        <is>
          <t>Menor</t>
        </is>
      </c>
      <c r="F27" s="48" t="inlineStr">
        <is>
          <t>Complementar</t>
        </is>
      </c>
      <c r="G27" s="48" t="inlineStr">
        <is>
          <t>Itens sem saída / total de itens.</t>
        </is>
      </c>
      <c r="H27" s="48" t="inlineStr">
        <is>
          <t>SmartStock</t>
        </is>
      </c>
      <c r="I27" s="75" t="n">
        <v>0.08</v>
      </c>
    </row>
    <row r="28" ht="31.5" customHeight="1" s="41">
      <c r="A28" s="48" t="inlineStr">
        <is>
          <t>4. Estoque e reposição</t>
        </is>
      </c>
      <c r="B28" s="47" t="inlineStr">
        <is>
          <t>Ocupação do espaço</t>
        </is>
      </c>
      <c r="C28" s="48" t="inlineStr">
        <is>
          <t>Parcela das posições de armazenagem ocupadas.</t>
        </is>
      </c>
      <c r="D28" s="48" t="inlineStr">
        <is>
          <t>% das posições</t>
        </is>
      </c>
      <c r="E28" s="48" t="inlineStr">
        <is>
          <t>Informativo</t>
        </is>
      </c>
      <c r="F28" s="48" t="inlineStr">
        <is>
          <t>Complementar</t>
        </is>
      </c>
      <c r="G28" s="48" t="inlineStr">
        <is>
          <t>Posições ocupadas / posições totais.</t>
        </is>
      </c>
      <c r="H28" s="48" t="inlineStr">
        <is>
          <t>SmartStock</t>
        </is>
      </c>
      <c r="I28" s="75" t="n">
        <v>0.7</v>
      </c>
    </row>
    <row r="29" ht="31.5" customHeight="1" s="41">
      <c r="A29" s="48" t="inlineStr">
        <is>
          <t>5. Dados e sistema</t>
        </is>
      </c>
      <c r="B29" s="47" t="inlineStr">
        <is>
          <t>Latência da informação</t>
        </is>
      </c>
      <c r="C29" s="48" t="inlineStr">
        <is>
          <t>Tempo entre a retirada física e a baixa no sistema.</t>
        </is>
      </c>
      <c r="D29" s="48" t="inlineStr">
        <is>
          <t>min</t>
        </is>
      </c>
      <c r="E29" s="48" t="inlineStr">
        <is>
          <t>Menor</t>
        </is>
      </c>
      <c r="F29" s="48" t="inlineStr">
        <is>
          <t>Complementar</t>
        </is>
      </c>
      <c r="G29" s="48" t="inlineStr">
        <is>
          <t>Carimbos de tempo da retirada e da baixa.</t>
        </is>
      </c>
      <c r="H29" s="48" t="inlineStr">
        <is>
          <t>RFID, Visão</t>
        </is>
      </c>
      <c r="I29" s="80" t="n">
        <v>5</v>
      </c>
    </row>
    <row r="30" ht="31.5" customHeight="1" s="41">
      <c r="A30" s="48" t="inlineStr">
        <is>
          <t>5. Dados e sistema</t>
        </is>
      </c>
      <c r="B30" s="47" t="inlineStr">
        <is>
          <t>Cobertura de rastreamento</t>
        </is>
      </c>
      <c r="C30" s="48" t="inlineStr">
        <is>
          <t>Parcela dos movimentos registrada automaticamente.</t>
        </is>
      </c>
      <c r="D30" s="48" t="inlineStr">
        <is>
          <t>% dos movimentos</t>
        </is>
      </c>
      <c r="E30" s="48" t="inlineStr">
        <is>
          <t>Maior</t>
        </is>
      </c>
      <c r="F30" s="48" t="inlineStr">
        <is>
          <t>Complementar</t>
        </is>
      </c>
      <c r="G30" s="48" t="inlineStr">
        <is>
          <t>Movimentos lidos / movimentos totais.</t>
        </is>
      </c>
      <c r="H30" s="48" t="inlineStr">
        <is>
          <t>RFID, Visão</t>
        </is>
      </c>
      <c r="I30" s="75" t="n">
        <v>0.9</v>
      </c>
    </row>
    <row r="31" ht="31.5" customHeight="1" s="41">
      <c r="A31" s="48" t="inlineStr">
        <is>
          <t>5. Dados e sistema</t>
        </is>
      </c>
      <c r="B31" s="47" t="inlineStr">
        <is>
          <t>Alertas falsos</t>
        </is>
      </c>
      <c r="C31" s="48" t="inlineStr">
        <is>
          <t>Alarmes gerados sem ocorrência real (RFID ou visão).</t>
        </is>
      </c>
      <c r="D31" s="48" t="inlineStr">
        <is>
          <t>alertas/semana</t>
        </is>
      </c>
      <c r="E31" s="48" t="inlineStr">
        <is>
          <t>Menor</t>
        </is>
      </c>
      <c r="F31" s="48" t="inlineStr">
        <is>
          <t>Complementar</t>
        </is>
      </c>
      <c r="G31" s="48" t="inlineStr">
        <is>
          <t>Alarmes sem evento correspondente.</t>
        </is>
      </c>
      <c r="H31" s="48" t="inlineStr">
        <is>
          <t>RFID, Visão</t>
        </is>
      </c>
      <c r="I31" s="80" t="n">
        <v>6</v>
      </c>
    </row>
    <row r="32" ht="31.5" customHeight="1" s="41">
      <c r="A32" s="48" t="inlineStr">
        <is>
          <t>6. Custos e retorno</t>
        </is>
      </c>
      <c r="B32" s="47" t="inlineStr">
        <is>
          <t>Custo operacional anual (sem tecnologias)</t>
        </is>
      </c>
      <c r="C32" s="48" t="inlineStr">
        <is>
          <t>Mão de obra, posse de estoque, pedidos e ruptura.</t>
        </is>
      </c>
      <c r="D32" s="48" t="inlineStr">
        <is>
          <t>R$/ano</t>
        </is>
      </c>
      <c r="E32" s="48" t="inlineStr">
        <is>
          <t>Menor</t>
        </is>
      </c>
      <c r="F32" s="48" t="inlineStr">
        <is>
          <t>Complementar</t>
        </is>
      </c>
      <c r="G32" s="48" t="inlineStr">
        <is>
          <t>Soma dos componentes de custo do simulador.</t>
        </is>
      </c>
      <c r="H32" s="48" t="inlineStr">
        <is>
          <t>Todos</t>
        </is>
      </c>
      <c r="I32" s="63" t="n">
        <v>410000</v>
      </c>
    </row>
    <row r="33" ht="31.5" customHeight="1" s="41">
      <c r="A33" s="48" t="inlineStr">
        <is>
          <t>6. Custos e retorno</t>
        </is>
      </c>
      <c r="B33" s="47" t="inlineStr">
        <is>
          <t>Custo anual das tecnologias</t>
        </is>
      </c>
      <c r="C33" s="48" t="inlineStr">
        <is>
          <t>Implantação anualizada mais manutenção dos módulos ligados.</t>
        </is>
      </c>
      <c r="D33" s="48" t="inlineStr">
        <is>
          <t>R$/ano</t>
        </is>
      </c>
      <c r="E33" s="48" t="inlineStr">
        <is>
          <t>Informativo</t>
        </is>
      </c>
      <c r="F33" s="48" t="inlineStr">
        <is>
          <t>Complementar</t>
        </is>
      </c>
      <c r="G33" s="48" t="inlineStr">
        <is>
          <t>Calculado a partir das abas Módulos e Cenários.</t>
        </is>
      </c>
      <c r="H33" s="48" t="inlineStr">
        <is>
          <t>-</t>
        </is>
      </c>
      <c r="I33" s="46" t="inlineStr">
        <is>
          <t>calculado</t>
        </is>
      </c>
    </row>
    <row r="34" ht="31.5" customHeight="1" s="41">
      <c r="A34" s="48" t="inlineStr">
        <is>
          <t>6. Custos e retorno</t>
        </is>
      </c>
      <c r="B34" s="47" t="inlineStr">
        <is>
          <t>Custo total anual</t>
        </is>
      </c>
      <c r="C34" s="48" t="inlineStr">
        <is>
          <t>Custo operacional mais custo das tecnologias.</t>
        </is>
      </c>
      <c r="D34" s="48" t="inlineStr">
        <is>
          <t>R$/ano</t>
        </is>
      </c>
      <c r="E34" s="48" t="inlineStr">
        <is>
          <t>Menor</t>
        </is>
      </c>
      <c r="F34" s="48" t="inlineStr">
        <is>
          <t>Complementar</t>
        </is>
      </c>
      <c r="G34" s="48" t="inlineStr">
        <is>
          <t>Calculado.</t>
        </is>
      </c>
      <c r="H34" s="48" t="inlineStr">
        <is>
          <t>Todos</t>
        </is>
      </c>
      <c r="I34" s="46" t="inlineStr">
        <is>
          <t>calculado</t>
        </is>
      </c>
    </row>
    <row r="35" ht="31.5" customHeight="1" s="41">
      <c r="A35" s="48" t="inlineStr">
        <is>
          <t>6. Custos e retorno</t>
        </is>
      </c>
      <c r="B35" s="47" t="inlineStr">
        <is>
          <t>Economia anual vs. base</t>
        </is>
      </c>
      <c r="C35" s="48" t="inlineStr">
        <is>
          <t>Custo total do cenário base menos o custo total do cenário.</t>
        </is>
      </c>
      <c r="D35" s="48" t="inlineStr">
        <is>
          <t>R$/ano</t>
        </is>
      </c>
      <c r="E35" s="48" t="inlineStr">
        <is>
          <t>Maior</t>
        </is>
      </c>
      <c r="F35" s="48" t="inlineStr">
        <is>
          <t>Complementar</t>
        </is>
      </c>
      <c r="G35" s="48" t="inlineStr">
        <is>
          <t>Calculado.</t>
        </is>
      </c>
      <c r="H35" s="48" t="inlineStr">
        <is>
          <t>Todos</t>
        </is>
      </c>
      <c r="I35" s="46" t="inlineStr">
        <is>
          <t>calculado</t>
        </is>
      </c>
    </row>
    <row r="36" ht="31.5" customHeight="1" s="41">
      <c r="A36" s="48" t="inlineStr">
        <is>
          <t>6. Custos e retorno</t>
        </is>
      </c>
      <c r="B36" s="47" t="inlineStr">
        <is>
          <t>Investimento inicial</t>
        </is>
      </c>
      <c r="C36" s="48" t="inlineStr">
        <is>
          <t>Implantação dos módulos ligados.</t>
        </is>
      </c>
      <c r="D36" s="48" t="inlineStr">
        <is>
          <t>R$</t>
        </is>
      </c>
      <c r="E36" s="48" t="inlineStr">
        <is>
          <t>Informativo</t>
        </is>
      </c>
      <c r="F36" s="48" t="inlineStr">
        <is>
          <t>Complementar</t>
        </is>
      </c>
      <c r="G36" s="48" t="inlineStr">
        <is>
          <t>Calculado a partir das abas Módulos e Cenários.</t>
        </is>
      </c>
      <c r="H36" s="48" t="inlineStr">
        <is>
          <t>-</t>
        </is>
      </c>
      <c r="I36" s="46" t="inlineStr">
        <is>
          <t>calculado</t>
        </is>
      </c>
    </row>
    <row r="37" ht="31.5" customHeight="1" s="41">
      <c r="A37" s="48" t="inlineStr">
        <is>
          <t>6. Custos e retorno</t>
        </is>
      </c>
      <c r="B37" s="47" t="inlineStr">
        <is>
          <t>Retorno do investimento (ROI anual)</t>
        </is>
      </c>
      <c r="C37" s="48" t="inlineStr">
        <is>
          <t>Economia anual dividida pelo investimento inicial.</t>
        </is>
      </c>
      <c r="D37" s="48" t="inlineStr">
        <is>
          <t>% ao ano</t>
        </is>
      </c>
      <c r="E37" s="48" t="inlineStr">
        <is>
          <t>Maior</t>
        </is>
      </c>
      <c r="F37" s="48" t="inlineStr">
        <is>
          <t>Complementar</t>
        </is>
      </c>
      <c r="G37" s="48" t="inlineStr">
        <is>
          <t>Calculado.</t>
        </is>
      </c>
      <c r="H37" s="48" t="inlineStr">
        <is>
          <t>Todos</t>
        </is>
      </c>
      <c r="I37" s="46" t="inlineStr">
        <is>
          <t>calculado</t>
        </is>
      </c>
    </row>
    <row r="38" ht="31.5" customHeight="1" s="41">
      <c r="A38" s="48" t="inlineStr">
        <is>
          <t>6. Custos e retorno</t>
        </is>
      </c>
      <c r="B38" s="47" t="inlineStr">
        <is>
          <t>Payback</t>
        </is>
      </c>
      <c r="C38" s="48" t="inlineStr">
        <is>
          <t>Meses para a economia pagar o investimento.</t>
        </is>
      </c>
      <c r="D38" s="48" t="inlineStr">
        <is>
          <t>meses</t>
        </is>
      </c>
      <c r="E38" s="48" t="inlineStr">
        <is>
          <t>Menor</t>
        </is>
      </c>
      <c r="F38" s="48" t="inlineStr">
        <is>
          <t>Complementar</t>
        </is>
      </c>
      <c r="G38" s="48" t="inlineStr">
        <is>
          <t>Calculado.</t>
        </is>
      </c>
      <c r="H38" s="48" t="inlineStr">
        <is>
          <t>Todos</t>
        </is>
      </c>
      <c r="I38" s="46" t="inlineStr">
        <is>
          <t>calculado</t>
        </is>
      </c>
    </row>
    <row r="40" ht="15" customHeight="1" s="41">
      <c r="A40" s="53" t="inlineStr">
        <is>
          <t>Os exemplos de valor mostram apenas o formato esperado; não são dados reais.</t>
        </is>
      </c>
    </row>
  </sheetData>
  <autoFilter ref="A3:I3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2026-10-22T04:39:04Z</dcterms:created>
  <dcterms:modified xsi:type="dcterms:W3CDTF">2026-10-23T03:22:58Z</dcterms:modified>
  <cp:revision>0</cp:revision>
</cp:coreProperties>
</file>