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asso a passo" sheetId="2" state="visible" r:id="rId4"/>
    <sheet name="Módulos" sheetId="3" state="visible" r:id="rId5"/>
    <sheet name="Premissas" sheetId="4" state="visible" r:id="rId6"/>
    <sheet name="Cenários" sheetId="5" state="visible" r:id="rId7"/>
    <sheet name="Indicadores" sheetId="6" state="visible" r:id="rId8"/>
  </sheets>
  <definedNames>
    <definedName function="false" hidden="true" localSheetId="1" name="_xlnm._FilterDatabase" vbProcedure="false">'Passo a passo'!$A$1:$H$11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<sst xmlns="http://schemas.openxmlformats.org/spreadsheetml/2006/main" count="202" uniqueCount="160">
  <si>
    <t xml:space="preserve">Plano do simulador 3D de almoxarifado (SmartStock, RFID, visão computacional)</t>
  </si>
  <si>
    <t xml:space="preserve">Ideia central</t>
  </si>
  <si>
    <t xml:space="preserve">Separar o cérebro do visual: um motor de simulação calcula tudo e a camada 3D só mostra o que o motor gerou. As tecnologias são módulos que se ligam e desligam no motor.</t>
  </si>
  <si>
    <t xml:space="preserve">Abas</t>
  </si>
  <si>
    <t xml:space="preserve">Passo a passo: as 10 etapas, com fase, entregável e status.  |  Módulos: o que cada tecnologia altera e seu custo.  |  Premissas: parâmetros de efeito (sem x com a tecnologia).  |  Cenários: as 8 combinações para comparar.  |  Indicadores: o que medir.</t>
  </si>
  <si>
    <t xml:space="preserve">Como usar</t>
  </si>
  <si>
    <t xml:space="preserve">Células com fonte azul e fundo amarelo são para você preencher. As demais são fórmulas ou texto fixo. Na aba Cenários, preencha os indicadores com os resultados do simulador; o custo total e a economia calculam sozinhos.</t>
  </si>
  <si>
    <t xml:space="preserve">Atenção aos valores</t>
  </si>
  <si>
    <t xml:space="preserve">Os números de efeito e de custo que já estão preenchidos são EXEMPLOS ilustrativos, não dados reais. Substitua por valores de artigos, fornecedores ou de um piloto. Os resultados são tão confiáveis quanto essas premissas.</t>
  </si>
  <si>
    <t xml:space="preserve">Ordem recomendada</t>
  </si>
  <si>
    <t xml:space="preserve">Faça primeiro a Fase A (motor e comparação em tabela). Só depois a Fase B (3D). Assim a comparação já funciona e o 3D vira uma camada de apresentação, não um risco que trava o projeto.</t>
  </si>
  <si>
    <t xml:space="preserve">Etapa</t>
  </si>
  <si>
    <t xml:space="preserve">Título</t>
  </si>
  <si>
    <t xml:space="preserve">O que fazer</t>
  </si>
  <si>
    <t xml:space="preserve">Entregável</t>
  </si>
  <si>
    <t xml:space="preserve">Ferramenta sugerida</t>
  </si>
  <si>
    <t xml:space="preserve">Fase</t>
  </si>
  <si>
    <t xml:space="preserve">Status</t>
  </si>
  <si>
    <t xml:space="preserve">Definir o que comparar</t>
  </si>
  <si>
    <t xml:space="preserve">Escolher perguntas e indicadores antes de qualquer código: nível de serviço, rupturas, divergência de inventário, tempo de separação, tempo de recebimento, estoque médio, custo total e retorno do investimento.</t>
  </si>
  <si>
    <t xml:space="preserve">Lista de perguntas e de indicadores (aba Indicadores)</t>
  </si>
  <si>
    <t xml:space="preserve">Planilha / papel</t>
  </si>
  <si>
    <t xml:space="preserve">A - Motor e comparação</t>
  </si>
  <si>
    <t xml:space="preserve">A fazer</t>
  </si>
  <si>
    <t xml:space="preserve">Descrever o almoxarifado como dados</t>
  </si>
  <si>
    <t xml:space="preserve">Guardar o layout em um arquivo (JSON): corredores, prateleiras, posições, doca de recebimento e expedição, com coordenadas. O motor usa para distâncias e tempos; o 3D usa o mesmo arquivo para desenhar.</t>
  </si>
  <si>
    <t xml:space="preserve">layout.json do almoxarifado</t>
  </si>
  <si>
    <t xml:space="preserve">Python + JSON</t>
  </si>
  <si>
    <t xml:space="preserve">Evoluir o motor para eventos e agentes</t>
  </si>
  <si>
    <t xml:space="preserve">Passar do tempo diário para eventos ao longo do dia: pedidos de retirada, operadores que andam até a prateleira, caminhões que chegam e descarregam. O motor diário atual vira o cérebro de reposição dentro dele.</t>
  </si>
  <si>
    <t xml:space="preserve">Motor de eventos rodando com operadores e recebimentos</t>
  </si>
  <si>
    <t xml:space="preserve">Python + SimPy</t>
  </si>
  <si>
    <t xml:space="preserve">Separar estoque físico de estoque no sistema</t>
  </si>
  <si>
    <t xml:space="preserve">Modelar a divergência: retiradas sem baixa, itens no lugar errado, erros de contagem. Sem isso, RFID e visão computacional não teriam efeito a mostrar.</t>
  </si>
  <si>
    <t xml:space="preserve">Duas contagens por item (físico e sistema) e métrica de divergência</t>
  </si>
  <si>
    <t xml:space="preserve">Python (motor)</t>
  </si>
  <si>
    <t xml:space="preserve">Fazer cada tecnologia ser um módulo com liga/desliga</t>
  </si>
  <si>
    <t xml:space="preserve">Cada módulo altera parâmetros específicos (aba Módulos e Premissas) e tem custo de implantação e manutenção.</t>
  </si>
  <si>
    <t xml:space="preserve">Módulos RFID, Visão e SmartStock configuráveis por arquivo</t>
  </si>
  <si>
    <t xml:space="preserve">Python (classes ou plugins)</t>
  </si>
  <si>
    <t xml:space="preserve">Rodar cenários com a mesma aleatoriedade</t>
  </si>
  <si>
    <t xml:space="preserve">Com 3 módulos há 8 combinações. Rodar todas com a mesma semente (mesma demanda e mesmos atrasos) para que a diferença venha só das tecnologias. Guardar os indicadores em tabela.</t>
  </si>
  <si>
    <t xml:space="preserve">Tabela de resultados por cenário (aba Cenários)</t>
  </si>
  <si>
    <t xml:space="preserve">Python + pandas</t>
  </si>
  <si>
    <t xml:space="preserve">Gerar um registro de eventos</t>
  </si>
  <si>
    <t xml:space="preserve">Gravar o que aconteceu durante a simulação (ex.: às 09:12 o operador 2 saiu da doca e foi para a posição B-14). Esse arquivo é a ponte para o 3D.</t>
  </si>
  <si>
    <t xml:space="preserve">events.json ou CSV com carimbo de tempo</t>
  </si>
  <si>
    <t xml:space="preserve">Python</t>
  </si>
  <si>
    <t xml:space="preserve">B - Visualização 3D</t>
  </si>
  <si>
    <t xml:space="preserve">Construir a visualização 3D</t>
  </si>
  <si>
    <t xml:space="preserve">Página web com prateleiras como caixas, operadores como pontos que se movem, cor da prateleira conforme o nível de estoque, e ícones/efeitos para RFID e câmeras. Reproduz o registro de eventos como um filme, com controle de velocidade. Começar com cubos coloridos.</t>
  </si>
  <si>
    <t xml:space="preserve">Página 3D que reproduz a simulação</t>
  </si>
  <si>
    <t xml:space="preserve">Three.js ou react-three-fiber (alternativas: Unity, Godot)</t>
  </si>
  <si>
    <t xml:space="preserve">Montar a interface de comparação</t>
  </si>
  <si>
    <t xml:space="preserve">Painel com interruptores (RFID, visão, SmartStock), sliders de parâmetros e, ao lado do 3D, os indicadores. Ideal: dois cenários lado a lado mostrando a diferença nos números.</t>
  </si>
  <si>
    <t xml:space="preserve">Painel interativo com cenários lado a lado</t>
  </si>
  <si>
    <t xml:space="preserve">Streamlit ou a própria página web</t>
  </si>
  <si>
    <t xml:space="preserve">Validar e calibrar</t>
  </si>
  <si>
    <t xml:space="preserve">Comparar o cenário sem nada com o que se sabe do almoxarifado real (taxa de ruptura, tempo médio de separação). Se a base não reproduz a realidade atual, os ganhos simulados não servem de argumento.</t>
  </si>
  <si>
    <t xml:space="preserve">Relatório de calibração do cenário base</t>
  </si>
  <si>
    <t xml:space="preserve">Dados reais + planilha</t>
  </si>
  <si>
    <t xml:space="preserve">Etapas concluídas:</t>
  </si>
  <si>
    <t xml:space="preserve">Módulos de tecnologia: o que alteram e quanto custam</t>
  </si>
  <si>
    <t xml:space="preserve">Valores de custo em fonte azul/fundo amarelo são EXEMPLOS: substitua por orçamentos reais.</t>
  </si>
  <si>
    <t xml:space="preserve">Módulo</t>
  </si>
  <si>
    <t xml:space="preserve">O que altera na simulação</t>
  </si>
  <si>
    <t xml:space="preserve">Custo de implantação (R$)</t>
  </si>
  <si>
    <t xml:space="preserve">Vida útil (anos)</t>
  </si>
  <si>
    <t xml:space="preserve">Manutenção (R$/ano)</t>
  </si>
  <si>
    <t xml:space="preserve">Custo anualizado (R$/ano)</t>
  </si>
  <si>
    <t xml:space="preserve">Observação</t>
  </si>
  <si>
    <t xml:space="preserve">RFID</t>
  </si>
  <si>
    <t xml:space="preserve">Reduz a divergência de inventário, acelera recebimento e contagem, localiza itens.</t>
  </si>
  <si>
    <t xml:space="preserve">Exemplo: etiquetas, leitores/portais e integração.</t>
  </si>
  <si>
    <t xml:space="preserve">Visão computacional</t>
  </si>
  <si>
    <t xml:space="preserve">Detecta retiradas e ocupação de prateleira, reduz erros de separação.</t>
  </si>
  <si>
    <t xml:space="preserve">Exemplo: câmeras, processamento e licença do software.</t>
  </si>
  <si>
    <t xml:space="preserve">SmartStock</t>
  </si>
  <si>
    <t xml:space="preserve">Troca a política de reposição (min/max fixo por adaptativa).</t>
  </si>
  <si>
    <t xml:space="preserve">Exemplo: desenvolvimento, integração e suporte.</t>
  </si>
  <si>
    <t xml:space="preserve">Total (todos os módulos)</t>
  </si>
  <si>
    <t xml:space="preserve">Parâmetros de efeito: valor sem x com a tecnologia</t>
  </si>
  <si>
    <t xml:space="preserve">EXEMPLOS ilustrativos. Substitua por dados de artigos, fornecedores ou piloto, e registre a fonte.</t>
  </si>
  <si>
    <t xml:space="preserve">Parâmetro</t>
  </si>
  <si>
    <t xml:space="preserve">Unidade</t>
  </si>
  <si>
    <t xml:space="preserve">Sem a tecnologia</t>
  </si>
  <si>
    <t xml:space="preserve">Com a tecnologia</t>
  </si>
  <si>
    <t xml:space="preserve">Redução relativa</t>
  </si>
  <si>
    <t xml:space="preserve">Fonte / observação</t>
  </si>
  <si>
    <t xml:space="preserve">Divergência de inventário (sistema x prateleira)</t>
  </si>
  <si>
    <t xml:space="preserve">% dos itens</t>
  </si>
  <si>
    <t xml:space="preserve">Exemplo, definir com dados reais</t>
  </si>
  <si>
    <t xml:space="preserve">Tempo de recebimento por lote</t>
  </si>
  <si>
    <t xml:space="preserve">min</t>
  </si>
  <si>
    <t xml:space="preserve">Tempo de contagem cíclica por item</t>
  </si>
  <si>
    <t xml:space="preserve">s</t>
  </si>
  <si>
    <t xml:space="preserve">Erro de separação (item errado)</t>
  </si>
  <si>
    <t xml:space="preserve">% dos pedidos</t>
  </si>
  <si>
    <t xml:space="preserve">Retiradas sem baixa no sistema</t>
  </si>
  <si>
    <t xml:space="preserve">% das retiradas</t>
  </si>
  <si>
    <t xml:space="preserve">Nível de serviço alvo da reposição</t>
  </si>
  <si>
    <t xml:space="preserve">% da demanda</t>
  </si>
  <si>
    <t xml:space="preserve">Política min/max atual x alvo do SmartStock (simulação)</t>
  </si>
  <si>
    <t xml:space="preserve">Nota: a redução relativa de 'Nível de serviço' é negativa porque o valor sobe com a tecnologia; leia o sinal como melhora.</t>
  </si>
  <si>
    <t xml:space="preserve">Cenários: 8 combinações de módulos (mesma semente aleatória em todos)</t>
  </si>
  <si>
    <t xml:space="preserve">Preencha as colunas amarelas com os resultados do simulador. O custo total e a economia calculam sozinhos (1 = ligado, 0 = desligado).</t>
  </si>
  <si>
    <t xml:space="preserve">Cenário</t>
  </si>
  <si>
    <t xml:space="preserve">Visão comp.</t>
  </si>
  <si>
    <t xml:space="preserve">Custo anual das tecnologias (R$)</t>
  </si>
  <si>
    <t xml:space="preserve">Nível de serviço</t>
  </si>
  <si>
    <t xml:space="preserve">Divergência de inventário</t>
  </si>
  <si>
    <t xml:space="preserve">Tempo médio de separação (min)</t>
  </si>
  <si>
    <t xml:space="preserve">Estoque médio (R$)</t>
  </si>
  <si>
    <t xml:space="preserve">Custo operacional anual (R$)</t>
  </si>
  <si>
    <t xml:space="preserve">Custo total anual (R$)</t>
  </si>
  <si>
    <t xml:space="preserve">Economia vs. base (R$)</t>
  </si>
  <si>
    <t xml:space="preserve">Base (nada)</t>
  </si>
  <si>
    <t xml:space="preserve">Só RFID</t>
  </si>
  <si>
    <t xml:space="preserve">Só visão computacional</t>
  </si>
  <si>
    <t xml:space="preserve">Só SmartStock</t>
  </si>
  <si>
    <t xml:space="preserve">RFID + visão</t>
  </si>
  <si>
    <t xml:space="preserve">RFID + SmartStock</t>
  </si>
  <si>
    <t xml:space="preserve">Visão + SmartStock</t>
  </si>
  <si>
    <t xml:space="preserve">Todos</t>
  </si>
  <si>
    <t xml:space="preserve">Exemplo de preenchimento (não entra na análise)</t>
  </si>
  <si>
    <t xml:space="preserve">Exemplo</t>
  </si>
  <si>
    <t xml:space="preserve">Indicador</t>
  </si>
  <si>
    <t xml:space="preserve">Definição</t>
  </si>
  <si>
    <t xml:space="preserve">Melhor quando</t>
  </si>
  <si>
    <t xml:space="preserve">Como medir na simulação</t>
  </si>
  <si>
    <t xml:space="preserve">Nível de serviço (fill rate)</t>
  </si>
  <si>
    <t xml:space="preserve">Parcela da demanda atendida sem falta.</t>
  </si>
  <si>
    <t xml:space="preserve">%</t>
  </si>
  <si>
    <t xml:space="preserve">Maior</t>
  </si>
  <si>
    <t xml:space="preserve">Vendido total / demanda total.</t>
  </si>
  <si>
    <t xml:space="preserve">Rupturas</t>
  </si>
  <si>
    <t xml:space="preserve">Dias em que algum pedido não foi totalmente atendido.</t>
  </si>
  <si>
    <t xml:space="preserve">dias</t>
  </si>
  <si>
    <t xml:space="preserve">Menor</t>
  </si>
  <si>
    <t xml:space="preserve">Contar dias com demanda não atendida, por item.</t>
  </si>
  <si>
    <t xml:space="preserve">Diferença entre o estoque do sistema e o físico.</t>
  </si>
  <si>
    <t xml:space="preserve">Comparar as duas contagens do passo 4.</t>
  </si>
  <si>
    <t xml:space="preserve">Tempo de separação</t>
  </si>
  <si>
    <t xml:space="preserve">Tempo para separar um pedido, do início ao fim.</t>
  </si>
  <si>
    <t xml:space="preserve">Média dos tempos dos agentes no motor de eventos.</t>
  </si>
  <si>
    <t xml:space="preserve">Tempo de recebimento</t>
  </si>
  <si>
    <t xml:space="preserve">Tempo para conferir e guardar um lote.</t>
  </si>
  <si>
    <t xml:space="preserve">Duração do evento de recebimento.</t>
  </si>
  <si>
    <t xml:space="preserve">Estoque médio</t>
  </si>
  <si>
    <t xml:space="preserve">Valor médio em estoque no período.</t>
  </si>
  <si>
    <t xml:space="preserve">R$</t>
  </si>
  <si>
    <t xml:space="preserve">Menor (com serviço mantido)</t>
  </si>
  <si>
    <t xml:space="preserve">Média diária de estoque x custo unitário.</t>
  </si>
  <si>
    <t xml:space="preserve">Custo total</t>
  </si>
  <si>
    <t xml:space="preserve">Posse + pedidos + ruptura + operação + tecnologias.</t>
  </si>
  <si>
    <t xml:space="preserve">R$/ano</t>
  </si>
  <si>
    <t xml:space="preserve">Soma dos componentes (aba Cenários).</t>
  </si>
  <si>
    <t xml:space="preserve">Retorno do investimento</t>
  </si>
  <si>
    <t xml:space="preserve">Economia anual dividida pelo investimento nas tecnologias.</t>
  </si>
  <si>
    <t xml:space="preserve">Economia vs. base / custo de implantação (aba Módulos).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</si>
</sst>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0%"/>
    <numFmt numFmtId="168" formatCode="0.0"/>
    <numFmt numFmtId="169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48" hidden="false" customHeight="true" outlineLevel="0" collapsed="false">
      <c r="A3" s="2" t="s">
        <v>1</v>
      </c>
      <c r="B3" s="3" t="s">
        <v>2</v>
      </c>
    </row>
    <row r="4" customFormat="false" ht="48" hidden="false" customHeight="true" outlineLevel="0" collapsed="false">
      <c r="A4" s="2" t="s">
        <v>3</v>
      </c>
      <c r="B4" s="3" t="s">
        <v>4</v>
      </c>
    </row>
    <row r="5" customFormat="false" ht="48" hidden="false" customHeight="true" outlineLevel="0" collapsed="false">
      <c r="A5" s="2" t="s">
        <v>5</v>
      </c>
      <c r="B5" s="3" t="s">
        <v>6</v>
      </c>
    </row>
    <row r="6" customFormat="false" ht="48" hidden="false" customHeight="true" outlineLevel="0" collapsed="false">
      <c r="A6" s="2" t="s">
        <v>7</v>
      </c>
      <c r="B6" s="3" t="s">
        <v>8</v>
      </c>
    </row>
    <row r="7" customFormat="false" ht="48" hidden="false" customHeight="true" outlineLevel="0" collapsed="false">
      <c r="A7" s="2" t="s">
        <v>9</v>
      </c>
      <c r="B7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36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8" min="7" style="0" width="14"/>
  </cols>
  <sheetData>
    <row r="1" customFormat="false" ht="31.5" hidden="false" customHeight="true" outlineLevel="0" collapsed="false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9</v>
      </c>
      <c r="H1" s="4" t="s">
        <v>17</v>
      </c>
    </row>
    <row r="2" customFormat="false" ht="78" hidden="false" customHeight="true" outlineLevel="0" collapsed="false">
      <c r="A2" s="5" t="n">
        <v>1</v>
      </c>
      <c r="B2" s="6" t="s">
        <v>18</v>
      </c>
      <c r="C2" s="7" t="s">
        <v>19</v>
      </c>
      <c r="D2" s="7" t="s">
        <v>20</v>
      </c>
      <c r="E2" s="7" t="s">
        <v>21</v>
      </c>
      <c r="F2" s="8" t="s">
        <v>22</v>
      </c>
      <c r="G2" s="5" t="n">
        <v>1</v>
      </c>
      <c r="H2" s="9" t="s">
        <v>23</v>
      </c>
    </row>
    <row r="3" customFormat="false" ht="78" hidden="false" customHeight="true" outlineLevel="0" collapsed="false">
      <c r="A3" s="5" t="n">
        <v>2</v>
      </c>
      <c r="B3" s="6" t="s">
        <v>24</v>
      </c>
      <c r="C3" s="7" t="s">
        <v>25</v>
      </c>
      <c r="D3" s="7" t="s">
        <v>26</v>
      </c>
      <c r="E3" s="7" t="s">
        <v>27</v>
      </c>
      <c r="F3" s="8" t="s">
        <v>22</v>
      </c>
      <c r="G3" s="5" t="n">
        <v>2</v>
      </c>
      <c r="H3" s="9" t="s">
        <v>23</v>
      </c>
    </row>
    <row r="4" customFormat="false" ht="78" hidden="false" customHeight="true" outlineLevel="0" collapsed="false">
      <c r="A4" s="5" t="n">
        <v>3</v>
      </c>
      <c r="B4" s="6" t="s">
        <v>28</v>
      </c>
      <c r="C4" s="7" t="s">
        <v>29</v>
      </c>
      <c r="D4" s="7" t="s">
        <v>30</v>
      </c>
      <c r="E4" s="7" t="s">
        <v>31</v>
      </c>
      <c r="F4" s="8" t="s">
        <v>22</v>
      </c>
      <c r="G4" s="5" t="n">
        <v>3</v>
      </c>
      <c r="H4" s="9" t="s">
        <v>23</v>
      </c>
    </row>
    <row r="5" customFormat="false" ht="78" hidden="false" customHeight="true" outlineLevel="0" collapsed="false">
      <c r="A5" s="5" t="n">
        <v>4</v>
      </c>
      <c r="B5" s="6" t="s">
        <v>32</v>
      </c>
      <c r="C5" s="7" t="s">
        <v>33</v>
      </c>
      <c r="D5" s="7" t="s">
        <v>34</v>
      </c>
      <c r="E5" s="7" t="s">
        <v>35</v>
      </c>
      <c r="F5" s="8" t="s">
        <v>22</v>
      </c>
      <c r="G5" s="5" t="n">
        <v>4</v>
      </c>
      <c r="H5" s="9" t="s">
        <v>23</v>
      </c>
    </row>
    <row r="6" customFormat="false" ht="78" hidden="false" customHeight="true" outlineLevel="0" collapsed="false">
      <c r="A6" s="5" t="n">
        <v>5</v>
      </c>
      <c r="B6" s="6" t="s">
        <v>36</v>
      </c>
      <c r="C6" s="7" t="s">
        <v>37</v>
      </c>
      <c r="D6" s="7" t="s">
        <v>38</v>
      </c>
      <c r="E6" s="7" t="s">
        <v>39</v>
      </c>
      <c r="F6" s="8" t="s">
        <v>22</v>
      </c>
      <c r="G6" s="5" t="n">
        <v>5</v>
      </c>
      <c r="H6" s="9" t="s">
        <v>23</v>
      </c>
    </row>
    <row r="7" customFormat="false" ht="78" hidden="false" customHeight="true" outlineLevel="0" collapsed="false">
      <c r="A7" s="5" t="n">
        <v>6</v>
      </c>
      <c r="B7" s="6" t="s">
        <v>40</v>
      </c>
      <c r="C7" s="7" t="s">
        <v>41</v>
      </c>
      <c r="D7" s="7" t="s">
        <v>42</v>
      </c>
      <c r="E7" s="7" t="s">
        <v>43</v>
      </c>
      <c r="F7" s="8" t="s">
        <v>22</v>
      </c>
      <c r="G7" s="5" t="n">
        <v>6</v>
      </c>
      <c r="H7" s="9" t="s">
        <v>23</v>
      </c>
    </row>
    <row r="8" customFormat="false" ht="78" hidden="false" customHeight="true" outlineLevel="0" collapsed="false">
      <c r="A8" s="5" t="n">
        <v>7</v>
      </c>
      <c r="B8" s="6" t="s">
        <v>44</v>
      </c>
      <c r="C8" s="7" t="s">
        <v>45</v>
      </c>
      <c r="D8" s="7" t="s">
        <v>46</v>
      </c>
      <c r="E8" s="7" t="s">
        <v>47</v>
      </c>
      <c r="F8" s="10" t="s">
        <v>48</v>
      </c>
      <c r="G8" s="5" t="n">
        <v>8</v>
      </c>
      <c r="H8" s="9" t="s">
        <v>23</v>
      </c>
    </row>
    <row r="9" customFormat="false" ht="78" hidden="false" customHeight="true" outlineLevel="0" collapsed="false">
      <c r="A9" s="5" t="n">
        <v>8</v>
      </c>
      <c r="B9" s="6" t="s">
        <v>49</v>
      </c>
      <c r="C9" s="7" t="s">
        <v>50</v>
      </c>
      <c r="D9" s="7" t="s">
        <v>51</v>
      </c>
      <c r="E9" s="7" t="s">
        <v>52</v>
      </c>
      <c r="F9" s="10" t="s">
        <v>48</v>
      </c>
      <c r="G9" s="5" t="n">
        <v>9</v>
      </c>
      <c r="H9" s="9" t="s">
        <v>23</v>
      </c>
    </row>
    <row r="10" customFormat="false" ht="78" hidden="false" customHeight="true" outlineLevel="0" collapsed="false">
      <c r="A10" s="5" t="n">
        <v>9</v>
      </c>
      <c r="B10" s="6" t="s">
        <v>53</v>
      </c>
      <c r="C10" s="7" t="s">
        <v>54</v>
      </c>
      <c r="D10" s="7" t="s">
        <v>55</v>
      </c>
      <c r="E10" s="7" t="s">
        <v>56</v>
      </c>
      <c r="F10" s="10" t="s">
        <v>48</v>
      </c>
      <c r="G10" s="5" t="n">
        <v>10</v>
      </c>
      <c r="H10" s="9" t="s">
        <v>23</v>
      </c>
    </row>
    <row r="11" customFormat="false" ht="78" hidden="false" customHeight="true" outlineLevel="0" collapsed="false">
      <c r="A11" s="5" t="n">
        <v>10</v>
      </c>
      <c r="B11" s="6" t="s">
        <v>57</v>
      </c>
      <c r="C11" s="7" t="s">
        <v>58</v>
      </c>
      <c r="D11" s="7" t="s">
        <v>59</v>
      </c>
      <c r="E11" s="7" t="s">
        <v>60</v>
      </c>
      <c r="F11" s="8" t="s">
        <v>22</v>
      </c>
      <c r="G11" s="5" t="n">
        <v>7</v>
      </c>
      <c r="H11" s="9" t="s">
        <v>23</v>
      </c>
    </row>
    <row r="13" customFormat="false" ht="15" hidden="false" customHeight="false" outlineLevel="0" collapsed="false">
      <c r="A13" s="11" t="s">
        <v>61</v>
      </c>
      <c r="C13" s="11" t="str">
        <f aca="false">COUNTIF(H2:H11,"Concluído")&amp;" de "&amp;COUNTA(A2:A11)</f>
        <v>0 de 10</v>
      </c>
    </row>
  </sheetData>
  <autoFilter ref="A1:H11"/>
  <dataValidations count="1">
    <dataValidation allowBlank="false" errorStyle="stop" operator="between" showDropDown="false" showErrorMessage="false" showInputMessage="false" sqref="H2:H11" type="list">
      <formula1>"A fazer,Em andamento,Concluído"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44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12" t="s">
        <v>63</v>
      </c>
    </row>
    <row r="4" customFormat="false" ht="31.5" hidden="false" customHeight="true" outlineLevel="0" collapsed="false">
      <c r="A4" s="4" t="s">
        <v>64</v>
      </c>
      <c r="B4" s="4" t="s">
        <v>65</v>
      </c>
      <c r="C4" s="4" t="s">
        <v>66</v>
      </c>
      <c r="D4" s="4" t="s">
        <v>67</v>
      </c>
      <c r="E4" s="4" t="s">
        <v>68</v>
      </c>
      <c r="F4" s="4" t="s">
        <v>69</v>
      </c>
      <c r="G4" s="4" t="s">
        <v>70</v>
      </c>
    </row>
    <row r="5" customFormat="false" ht="43.5" hidden="false" customHeight="true" outlineLevel="0" collapsed="false">
      <c r="A5" s="6" t="s">
        <v>71</v>
      </c>
      <c r="B5" s="7" t="s">
        <v>72</v>
      </c>
      <c r="C5" s="13" t="n">
        <v>150000</v>
      </c>
      <c r="D5" s="14" t="n">
        <v>5</v>
      </c>
      <c r="E5" s="13" t="n">
        <v>12000</v>
      </c>
      <c r="F5" s="15" t="n">
        <f aca="false">IF(D5&gt;0,C5/D5,0)+E5</f>
        <v>42000</v>
      </c>
      <c r="G5" s="7" t="s">
        <v>73</v>
      </c>
    </row>
    <row r="6" customFormat="false" ht="43.5" hidden="false" customHeight="true" outlineLevel="0" collapsed="false">
      <c r="A6" s="6" t="s">
        <v>74</v>
      </c>
      <c r="B6" s="7" t="s">
        <v>75</v>
      </c>
      <c r="C6" s="13" t="n">
        <v>90000</v>
      </c>
      <c r="D6" s="14" t="n">
        <v>4</v>
      </c>
      <c r="E6" s="13" t="n">
        <v>9000</v>
      </c>
      <c r="F6" s="15" t="n">
        <f aca="false">IF(D6&gt;0,C6/D6,0)+E6</f>
        <v>31500</v>
      </c>
      <c r="G6" s="7" t="s">
        <v>76</v>
      </c>
    </row>
    <row r="7" customFormat="false" ht="43.5" hidden="false" customHeight="true" outlineLevel="0" collapsed="false">
      <c r="A7" s="6" t="s">
        <v>77</v>
      </c>
      <c r="B7" s="7" t="s">
        <v>78</v>
      </c>
      <c r="C7" s="13" t="n">
        <v>30000</v>
      </c>
      <c r="D7" s="14" t="n">
        <v>3</v>
      </c>
      <c r="E7" s="13" t="n">
        <v>6000</v>
      </c>
      <c r="F7" s="15" t="n">
        <f aca="false">IF(D7&gt;0,C7/D7,0)+E7</f>
        <v>16000</v>
      </c>
      <c r="G7" s="7" t="s">
        <v>79</v>
      </c>
    </row>
    <row r="8" customFormat="false" ht="15" hidden="false" customHeight="false" outlineLevel="0" collapsed="false">
      <c r="A8" s="16" t="s">
        <v>80</v>
      </c>
      <c r="B8" s="17"/>
      <c r="C8" s="18" t="n">
        <f aca="false">SUM(C5:C7)</f>
        <v>270000</v>
      </c>
      <c r="D8" s="17"/>
      <c r="E8" s="18" t="n">
        <f aca="false">SUM(E5:E7)</f>
        <v>27000</v>
      </c>
      <c r="F8" s="18" t="n">
        <f aca="false">SUM(F5:F7)</f>
        <v>89500</v>
      </c>
      <c r="G8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8"/>
    <col collapsed="false" customWidth="true" hidden="false" outlineLevel="0" max="6" min="3" style="0" width="18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1" t="s">
        <v>81</v>
      </c>
    </row>
    <row r="2" customFormat="false" ht="15" hidden="false" customHeight="false" outlineLevel="0" collapsed="false">
      <c r="A2" s="12" t="s">
        <v>82</v>
      </c>
    </row>
    <row r="4" customFormat="false" ht="31.5" hidden="false" customHeight="true" outlineLevel="0" collapsed="false">
      <c r="A4" s="4" t="s">
        <v>64</v>
      </c>
      <c r="B4" s="4" t="s">
        <v>83</v>
      </c>
      <c r="C4" s="4" t="s">
        <v>84</v>
      </c>
      <c r="D4" s="4" t="s">
        <v>85</v>
      </c>
      <c r="E4" s="4" t="s">
        <v>86</v>
      </c>
      <c r="F4" s="4" t="s">
        <v>87</v>
      </c>
      <c r="G4" s="4" t="s">
        <v>88</v>
      </c>
    </row>
    <row r="5" customFormat="false" ht="31.5" hidden="false" customHeight="true" outlineLevel="0" collapsed="false">
      <c r="A5" s="6" t="s">
        <v>71</v>
      </c>
      <c r="B5" s="7" t="s">
        <v>89</v>
      </c>
      <c r="C5" s="7" t="s">
        <v>90</v>
      </c>
      <c r="D5" s="19" t="n">
        <v>0.08</v>
      </c>
      <c r="E5" s="19" t="n">
        <v>0.01</v>
      </c>
      <c r="F5" s="20" t="n">
        <f aca="false">IF(D5=0,0,(D5-E5)/D5)</f>
        <v>0.875</v>
      </c>
      <c r="G5" s="7" t="s">
        <v>91</v>
      </c>
    </row>
    <row r="6" customFormat="false" ht="31.5" hidden="false" customHeight="true" outlineLevel="0" collapsed="false">
      <c r="A6" s="6" t="s">
        <v>71</v>
      </c>
      <c r="B6" s="7" t="s">
        <v>92</v>
      </c>
      <c r="C6" s="7" t="s">
        <v>93</v>
      </c>
      <c r="D6" s="21" t="n">
        <v>45</v>
      </c>
      <c r="E6" s="21" t="n">
        <v>15</v>
      </c>
      <c r="F6" s="20" t="n">
        <f aca="false">IF(D6=0,0,(D6-E6)/D6)</f>
        <v>0.666666666666667</v>
      </c>
      <c r="G6" s="7" t="s">
        <v>91</v>
      </c>
    </row>
    <row r="7" customFormat="false" ht="31.5" hidden="false" customHeight="true" outlineLevel="0" collapsed="false">
      <c r="A7" s="6" t="s">
        <v>71</v>
      </c>
      <c r="B7" s="7" t="s">
        <v>94</v>
      </c>
      <c r="C7" s="7" t="s">
        <v>95</v>
      </c>
      <c r="D7" s="21" t="n">
        <v>30</v>
      </c>
      <c r="E7" s="21" t="n">
        <v>5</v>
      </c>
      <c r="F7" s="20" t="n">
        <f aca="false">IF(D7=0,0,(D7-E7)/D7)</f>
        <v>0.833333333333333</v>
      </c>
      <c r="G7" s="7" t="s">
        <v>91</v>
      </c>
    </row>
    <row r="8" customFormat="false" ht="31.5" hidden="false" customHeight="true" outlineLevel="0" collapsed="false">
      <c r="A8" s="6" t="s">
        <v>74</v>
      </c>
      <c r="B8" s="7" t="s">
        <v>96</v>
      </c>
      <c r="C8" s="7" t="s">
        <v>97</v>
      </c>
      <c r="D8" s="19" t="n">
        <v>0.03</v>
      </c>
      <c r="E8" s="19" t="n">
        <v>0.005</v>
      </c>
      <c r="F8" s="20" t="n">
        <f aca="false">IF(D8=0,0,(D8-E8)/D8)</f>
        <v>0.833333333333333</v>
      </c>
      <c r="G8" s="7" t="s">
        <v>91</v>
      </c>
    </row>
    <row r="9" customFormat="false" ht="31.5" hidden="false" customHeight="true" outlineLevel="0" collapsed="false">
      <c r="A9" s="6" t="s">
        <v>74</v>
      </c>
      <c r="B9" s="7" t="s">
        <v>98</v>
      </c>
      <c r="C9" s="7" t="s">
        <v>99</v>
      </c>
      <c r="D9" s="19" t="n">
        <v>0.05</v>
      </c>
      <c r="E9" s="19" t="n">
        <v>0.01</v>
      </c>
      <c r="F9" s="20" t="n">
        <f aca="false">IF(D9=0,0,(D9-E9)/D9)</f>
        <v>0.8</v>
      </c>
      <c r="G9" s="7" t="s">
        <v>91</v>
      </c>
    </row>
    <row r="10" customFormat="false" ht="31.5" hidden="false" customHeight="true" outlineLevel="0" collapsed="false">
      <c r="A10" s="6" t="s">
        <v>77</v>
      </c>
      <c r="B10" s="7" t="s">
        <v>100</v>
      </c>
      <c r="C10" s="7" t="s">
        <v>101</v>
      </c>
      <c r="D10" s="19" t="n">
        <v>0.94</v>
      </c>
      <c r="E10" s="19" t="n">
        <v>0.97</v>
      </c>
      <c r="F10" s="20" t="n">
        <f aca="false">IF(D10=0,0,(D10-E10)/D10)</f>
        <v>-0.0319148936170213</v>
      </c>
      <c r="G10" s="7" t="s">
        <v>102</v>
      </c>
    </row>
    <row r="12" customFormat="false" ht="15" hidden="false" customHeight="false" outlineLevel="0" collapsed="false">
      <c r="A12" s="12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4" min="3" style="0" width="12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22"/>
    <col collapsed="false" customWidth="true" hidden="false" outlineLevel="0" max="12" min="11" style="0" width="20"/>
  </cols>
  <sheetData>
    <row r="1" customFormat="false" ht="17.35" hidden="false" customHeight="false" outlineLevel="0" collapsed="false">
      <c r="A1" s="1" t="s">
        <v>104</v>
      </c>
    </row>
    <row r="2" customFormat="false" ht="15" hidden="false" customHeight="false" outlineLevel="0" collapsed="false">
      <c r="A2" s="12" t="s">
        <v>105</v>
      </c>
    </row>
    <row r="4" customFormat="false" ht="48" hidden="false" customHeight="true" outlineLevel="0" collapsed="false">
      <c r="A4" s="4" t="s">
        <v>106</v>
      </c>
      <c r="B4" s="4" t="s">
        <v>71</v>
      </c>
      <c r="C4" s="4" t="s">
        <v>107</v>
      </c>
      <c r="D4" s="4" t="s">
        <v>77</v>
      </c>
      <c r="E4" s="4" t="s">
        <v>108</v>
      </c>
      <c r="F4" s="4" t="s">
        <v>109</v>
      </c>
      <c r="G4" s="4" t="s">
        <v>110</v>
      </c>
      <c r="H4" s="4" t="s">
        <v>111</v>
      </c>
      <c r="I4" s="4" t="s">
        <v>112</v>
      </c>
      <c r="J4" s="4" t="s">
        <v>113</v>
      </c>
      <c r="K4" s="4" t="s">
        <v>114</v>
      </c>
      <c r="L4" s="4" t="s">
        <v>115</v>
      </c>
    </row>
    <row r="5" customFormat="false" ht="24" hidden="false" customHeight="true" outlineLevel="0" collapsed="false">
      <c r="A5" s="6" t="s">
        <v>116</v>
      </c>
      <c r="B5" s="9" t="n">
        <v>0</v>
      </c>
      <c r="C5" s="9" t="n">
        <v>0</v>
      </c>
      <c r="D5" s="9" t="n">
        <v>0</v>
      </c>
      <c r="E5" s="22" t="n">
        <f aca="false">B5*Módulos!$F$5+C5*Módulos!$F$6+D5*Módulos!$F$7</f>
        <v>0</v>
      </c>
      <c r="F5" s="19"/>
      <c r="G5" s="19"/>
      <c r="H5" s="23"/>
      <c r="I5" s="24"/>
      <c r="J5" s="24"/>
      <c r="K5" s="25" t="str">
        <f aca="false">IF(J5="","",J5+E5)</f>
        <v/>
      </c>
      <c r="L5" s="25" t="str">
        <f aca="false">IF(OR(K5="",$K$5=""),"",$K$5-K5)</f>
        <v/>
      </c>
    </row>
    <row r="6" customFormat="false" ht="24" hidden="false" customHeight="true" outlineLevel="0" collapsed="false">
      <c r="A6" s="6" t="s">
        <v>117</v>
      </c>
      <c r="B6" s="9" t="n">
        <v>1</v>
      </c>
      <c r="C6" s="9" t="n">
        <v>0</v>
      </c>
      <c r="D6" s="9" t="n">
        <v>0</v>
      </c>
      <c r="E6" s="22" t="n">
        <f aca="false">B6*Módulos!$F$5+C6*Módulos!$F$6+D6*Módulos!$F$7</f>
        <v>42000</v>
      </c>
      <c r="F6" s="19"/>
      <c r="G6" s="19"/>
      <c r="H6" s="23"/>
      <c r="I6" s="24"/>
      <c r="J6" s="24"/>
      <c r="K6" s="25" t="str">
        <f aca="false">IF(J6="","",J6+E6)</f>
        <v/>
      </c>
      <c r="L6" s="25" t="str">
        <f aca="false">IF(OR(K6="",$K$5=""),"",$K$5-K6)</f>
        <v/>
      </c>
    </row>
    <row r="7" customFormat="false" ht="24" hidden="false" customHeight="true" outlineLevel="0" collapsed="false">
      <c r="A7" s="6" t="s">
        <v>118</v>
      </c>
      <c r="B7" s="9" t="n">
        <v>0</v>
      </c>
      <c r="C7" s="9" t="n">
        <v>1</v>
      </c>
      <c r="D7" s="9" t="n">
        <v>0</v>
      </c>
      <c r="E7" s="22" t="n">
        <f aca="false">B7*Módulos!$F$5+C7*Módulos!$F$6+D7*Módulos!$F$7</f>
        <v>31500</v>
      </c>
      <c r="F7" s="19"/>
      <c r="G7" s="19"/>
      <c r="H7" s="23"/>
      <c r="I7" s="24"/>
      <c r="J7" s="24"/>
      <c r="K7" s="25" t="str">
        <f aca="false">IF(J7="","",J7+E7)</f>
        <v/>
      </c>
      <c r="L7" s="25" t="str">
        <f aca="false">IF(OR(K7="",$K$5=""),"",$K$5-K7)</f>
        <v/>
      </c>
    </row>
    <row r="8" customFormat="false" ht="24" hidden="false" customHeight="true" outlineLevel="0" collapsed="false">
      <c r="A8" s="6" t="s">
        <v>119</v>
      </c>
      <c r="B8" s="9" t="n">
        <v>0</v>
      </c>
      <c r="C8" s="9" t="n">
        <v>0</v>
      </c>
      <c r="D8" s="9" t="n">
        <v>1</v>
      </c>
      <c r="E8" s="22" t="n">
        <f aca="false">B8*Módulos!$F$5+C8*Módulos!$F$6+D8*Módulos!$F$7</f>
        <v>16000</v>
      </c>
      <c r="F8" s="19"/>
      <c r="G8" s="19"/>
      <c r="H8" s="23"/>
      <c r="I8" s="24"/>
      <c r="J8" s="24"/>
      <c r="K8" s="25" t="str">
        <f aca="false">IF(J8="","",J8+E8)</f>
        <v/>
      </c>
      <c r="L8" s="25" t="str">
        <f aca="false">IF(OR(K8="",$K$5=""),"",$K$5-K8)</f>
        <v/>
      </c>
    </row>
    <row r="9" customFormat="false" ht="24" hidden="false" customHeight="true" outlineLevel="0" collapsed="false">
      <c r="A9" s="6" t="s">
        <v>120</v>
      </c>
      <c r="B9" s="9" t="n">
        <v>1</v>
      </c>
      <c r="C9" s="9" t="n">
        <v>1</v>
      </c>
      <c r="D9" s="9" t="n">
        <v>0</v>
      </c>
      <c r="E9" s="22" t="n">
        <f aca="false">B9*Módulos!$F$5+C9*Módulos!$F$6+D9*Módulos!$F$7</f>
        <v>73500</v>
      </c>
      <c r="F9" s="19"/>
      <c r="G9" s="19"/>
      <c r="H9" s="23"/>
      <c r="I9" s="24"/>
      <c r="J9" s="24"/>
      <c r="K9" s="25" t="str">
        <f aca="false">IF(J9="","",J9+E9)</f>
        <v/>
      </c>
      <c r="L9" s="25" t="str">
        <f aca="false">IF(OR(K9="",$K$5=""),"",$K$5-K9)</f>
        <v/>
      </c>
    </row>
    <row r="10" customFormat="false" ht="24" hidden="false" customHeight="true" outlineLevel="0" collapsed="false">
      <c r="A10" s="6" t="s">
        <v>121</v>
      </c>
      <c r="B10" s="9" t="n">
        <v>1</v>
      </c>
      <c r="C10" s="9" t="n">
        <v>0</v>
      </c>
      <c r="D10" s="9" t="n">
        <v>1</v>
      </c>
      <c r="E10" s="22" t="n">
        <f aca="false">B10*Módulos!$F$5+C10*Módulos!$F$6+D10*Módulos!$F$7</f>
        <v>58000</v>
      </c>
      <c r="F10" s="19"/>
      <c r="G10" s="19"/>
      <c r="H10" s="23"/>
      <c r="I10" s="24"/>
      <c r="J10" s="24"/>
      <c r="K10" s="25" t="str">
        <f aca="false">IF(J10="","",J10+E10)</f>
        <v/>
      </c>
      <c r="L10" s="25" t="str">
        <f aca="false">IF(OR(K10="",$K$5=""),"",$K$5-K10)</f>
        <v/>
      </c>
    </row>
    <row r="11" customFormat="false" ht="24" hidden="false" customHeight="true" outlineLevel="0" collapsed="false">
      <c r="A11" s="6" t="s">
        <v>122</v>
      </c>
      <c r="B11" s="9" t="n">
        <v>0</v>
      </c>
      <c r="C11" s="9" t="n">
        <v>1</v>
      </c>
      <c r="D11" s="9" t="n">
        <v>1</v>
      </c>
      <c r="E11" s="22" t="n">
        <f aca="false">B11*Módulos!$F$5+C11*Módulos!$F$6+D11*Módulos!$F$7</f>
        <v>47500</v>
      </c>
      <c r="F11" s="19"/>
      <c r="G11" s="19"/>
      <c r="H11" s="23"/>
      <c r="I11" s="24"/>
      <c r="J11" s="24"/>
      <c r="K11" s="25" t="str">
        <f aca="false">IF(J11="","",J11+E11)</f>
        <v/>
      </c>
      <c r="L11" s="25" t="str">
        <f aca="false">IF(OR(K11="",$K$5=""),"",$K$5-K11)</f>
        <v/>
      </c>
    </row>
    <row r="12" customFormat="false" ht="24" hidden="false" customHeight="true" outlineLevel="0" collapsed="false">
      <c r="A12" s="6" t="s">
        <v>123</v>
      </c>
      <c r="B12" s="9" t="n">
        <v>1</v>
      </c>
      <c r="C12" s="9" t="n">
        <v>1</v>
      </c>
      <c r="D12" s="9" t="n">
        <v>1</v>
      </c>
      <c r="E12" s="22" t="n">
        <f aca="false">B12*Módulos!$F$5+C12*Módulos!$F$6+D12*Módulos!$F$7</f>
        <v>89500</v>
      </c>
      <c r="F12" s="19"/>
      <c r="G12" s="19"/>
      <c r="H12" s="23"/>
      <c r="I12" s="24"/>
      <c r="J12" s="24"/>
      <c r="K12" s="25" t="str">
        <f aca="false">IF(J12="","",J12+E12)</f>
        <v/>
      </c>
      <c r="L12" s="25" t="str">
        <f aca="false">IF(OR(K12="",$K$5=""),"",$K$5-K12)</f>
        <v/>
      </c>
    </row>
    <row r="14" customFormat="false" ht="15" hidden="false" customHeight="false" outlineLevel="0" collapsed="false">
      <c r="A14" s="12" t="s">
        <v>124</v>
      </c>
    </row>
    <row r="15" customFormat="false" ht="15" hidden="false" customHeight="false" outlineLevel="0" collapsed="false">
      <c r="A15" s="26" t="s">
        <v>125</v>
      </c>
      <c r="B15" s="26" t="n">
        <v>1</v>
      </c>
      <c r="C15" s="26" t="n">
        <v>0</v>
      </c>
      <c r="D15" s="26" t="n">
        <v>1</v>
      </c>
      <c r="E15" s="26"/>
      <c r="F15" s="27" t="n">
        <v>0.985</v>
      </c>
      <c r="G15" s="27" t="n">
        <v>0.012</v>
      </c>
      <c r="H15" s="28" t="n">
        <v>6.5</v>
      </c>
      <c r="I15" s="29" t="n">
        <v>240000</v>
      </c>
      <c r="J15" s="29" t="n">
        <v>410000</v>
      </c>
      <c r="K15" s="26"/>
      <c r="L15" s="26"/>
    </row>
  </sheetData>
  <dataValidations count="1">
    <dataValidation allowBlank="false" errorStyle="stop" operator="between" showDropDown="false" showErrorMessage="false" showInputMessage="false" sqref="B5:D12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52"/>
  </cols>
  <sheetData>
    <row r="1" customFormat="false" ht="31.5" hidden="false" customHeight="true" outlineLevel="0" collapsed="false">
      <c r="A1" s="4" t="s">
        <v>126</v>
      </c>
      <c r="B1" s="4" t="s">
        <v>127</v>
      </c>
      <c r="C1" s="4" t="s">
        <v>84</v>
      </c>
      <c r="D1" s="4" t="s">
        <v>128</v>
      </c>
      <c r="E1" s="4" t="s">
        <v>129</v>
      </c>
    </row>
    <row r="2" customFormat="false" ht="33.75" hidden="false" customHeight="true" outlineLevel="0" collapsed="false">
      <c r="A2" s="6" t="s">
        <v>130</v>
      </c>
      <c r="B2" s="7" t="s">
        <v>131</v>
      </c>
      <c r="C2" s="7" t="s">
        <v>132</v>
      </c>
      <c r="D2" s="7" t="s">
        <v>133</v>
      </c>
      <c r="E2" s="7" t="s">
        <v>134</v>
      </c>
    </row>
    <row r="3" customFormat="false" ht="33.75" hidden="false" customHeight="true" outlineLevel="0" collapsed="false">
      <c r="A3" s="6" t="s">
        <v>135</v>
      </c>
      <c r="B3" s="7" t="s">
        <v>136</v>
      </c>
      <c r="C3" s="7" t="s">
        <v>137</v>
      </c>
      <c r="D3" s="7" t="s">
        <v>138</v>
      </c>
      <c r="E3" s="7" t="s">
        <v>139</v>
      </c>
    </row>
    <row r="4" customFormat="false" ht="33.75" hidden="false" customHeight="true" outlineLevel="0" collapsed="false">
      <c r="A4" s="6" t="s">
        <v>110</v>
      </c>
      <c r="B4" s="7" t="s">
        <v>140</v>
      </c>
      <c r="C4" s="7" t="s">
        <v>90</v>
      </c>
      <c r="D4" s="7" t="s">
        <v>138</v>
      </c>
      <c r="E4" s="7" t="s">
        <v>141</v>
      </c>
    </row>
    <row r="5" customFormat="false" ht="33.75" hidden="false" customHeight="true" outlineLevel="0" collapsed="false">
      <c r="A5" s="6" t="s">
        <v>142</v>
      </c>
      <c r="B5" s="7" t="s">
        <v>143</v>
      </c>
      <c r="C5" s="7" t="s">
        <v>93</v>
      </c>
      <c r="D5" s="7" t="s">
        <v>138</v>
      </c>
      <c r="E5" s="7" t="s">
        <v>144</v>
      </c>
    </row>
    <row r="6" customFormat="false" ht="33.75" hidden="false" customHeight="true" outlineLevel="0" collapsed="false">
      <c r="A6" s="6" t="s">
        <v>145</v>
      </c>
      <c r="B6" s="7" t="s">
        <v>146</v>
      </c>
      <c r="C6" s="7" t="s">
        <v>93</v>
      </c>
      <c r="D6" s="7" t="s">
        <v>138</v>
      </c>
      <c r="E6" s="7" t="s">
        <v>147</v>
      </c>
    </row>
    <row r="7" customFormat="false" ht="33.75" hidden="false" customHeight="true" outlineLevel="0" collapsed="false">
      <c r="A7" s="6" t="s">
        <v>148</v>
      </c>
      <c r="B7" s="7" t="s">
        <v>149</v>
      </c>
      <c r="C7" s="7" t="s">
        <v>150</v>
      </c>
      <c r="D7" s="7" t="s">
        <v>151</v>
      </c>
      <c r="E7" s="7" t="s">
        <v>152</v>
      </c>
    </row>
    <row r="8" customFormat="false" ht="33.75" hidden="false" customHeight="true" outlineLevel="0" collapsed="false">
      <c r="A8" s="6" t="s">
        <v>153</v>
      </c>
      <c r="B8" s="7" t="s">
        <v>154</v>
      </c>
      <c r="C8" s="7" t="s">
        <v>155</v>
      </c>
      <c r="D8" s="7" t="s">
        <v>138</v>
      </c>
      <c r="E8" s="7" t="s">
        <v>156</v>
      </c>
    </row>
    <row r="9" customFormat="false" ht="33.75" hidden="false" customHeight="true" outlineLevel="0" collapsed="false">
      <c r="A9" s="6" t="s">
        <v>157</v>
      </c>
      <c r="B9" s="7" t="s">
        <v>158</v>
      </c>
      <c r="C9" s="7" t="s">
        <v>132</v>
      </c>
      <c r="D9" s="7" t="s">
        <v>133</v>
      </c>
      <c r="E9" s="7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2026-10-22T04:30:27Z</dcterms:created>
  <dc:creator>openpyxl</dc:creator>
  <dc:description/>
  <dc:language>en-US</dc:language>
  <cp:lastModifiedBy/>
  <dcterms:modified xsi:type="dcterms:W3CDTF">2026-10-22T04:30:27Z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